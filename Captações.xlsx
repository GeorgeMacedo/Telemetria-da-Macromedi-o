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macedo\Downloads\"/>
    </mc:Choice>
  </mc:AlternateContent>
  <bookViews>
    <workbookView xWindow="0" yWindow="0" windowWidth="28800" windowHeight="12590"/>
  </bookViews>
  <sheets>
    <sheet name="Captações por ETAs" sheetId="1" r:id="rId1"/>
  </sheets>
  <externalReferences>
    <externalReference r:id="rId2"/>
  </externalReferences>
  <definedNames>
    <definedName name="_____xlfn_IFERROR">#REF!</definedName>
    <definedName name="____xlfn_IFERROR">#REF!</definedName>
    <definedName name="___xlfn_IFERROR">#REF!</definedName>
    <definedName name="__xlfn_IFERROR">#REF!</definedName>
    <definedName name="_xlnm._FilterDatabase" localSheetId="0" hidden="1">'Captações por ETAs'!#REF!</definedName>
    <definedName name="a">#REF!</definedName>
    <definedName name="aaa">#REF!</definedName>
    <definedName name="aaaa">#REF!</definedName>
    <definedName name="aaaaaaaaaa">#REF!</definedName>
    <definedName name="AS">#REF!</definedName>
    <definedName name="Ca">#REF!</definedName>
    <definedName name="cava2">#REF!</definedName>
    <definedName name="CCCCC">#REF!</definedName>
    <definedName name="CODTERRITORIO">#REF!</definedName>
    <definedName name="DICNOMEBL_BLC_UNIC">#REF!</definedName>
    <definedName name="ETA">#REF!</definedName>
    <definedName name="FATURAMENTO">#REF!</definedName>
    <definedName name="FILTROBL_BLC_UNIC">#REF!</definedName>
    <definedName name="HTML_1">#REF!</definedName>
    <definedName name="HTML_all">#REF!</definedName>
    <definedName name="HTML_tables">#REF!</definedName>
    <definedName name="iue">#REF!</definedName>
    <definedName name="maruza">#REF!</definedName>
    <definedName name="N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OV">#REF!</definedName>
    <definedName name="NUMERODEORDEM">#REF!</definedName>
    <definedName name="ORDEMTERRITORIO">#REF!</definedName>
    <definedName name="POÇO">#REF!</definedName>
    <definedName name="ppppppppppp">#REF!</definedName>
    <definedName name="q">#REF!</definedName>
    <definedName name="qqqqqqqqqq">#REF!</definedName>
    <definedName name="qqqqqqqqqqqq">#REF!</definedName>
    <definedName name="QUALIDADE">#REF!</definedName>
    <definedName name="QUALIDADE.">#REF!</definedName>
    <definedName name="Resumo_da_Avaliação_do_Desempenho_do_Elo_Ibura">#REF!</definedName>
    <definedName name="SI">#REF!</definedName>
    <definedName name="teste">#REF!</definedName>
    <definedName name="TOTORDEMBLC_UNIC">#REF!</definedName>
    <definedName name="wesley">#REF!</definedName>
    <definedName name="wwcm">#REF!</definedName>
    <definedName name="www">#REF!</definedName>
    <definedName name="WWWWW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3" i="1" l="1"/>
  <c r="Y282" i="1"/>
  <c r="N282" i="1"/>
  <c r="N283" i="1" s="1"/>
  <c r="N281" i="1"/>
  <c r="K281" i="1"/>
  <c r="F281" i="1"/>
  <c r="Y280" i="1"/>
  <c r="C280" i="1"/>
  <c r="B280" i="1"/>
  <c r="Y279" i="1"/>
  <c r="C279" i="1"/>
  <c r="B279" i="1"/>
  <c r="Y278" i="1"/>
  <c r="C278" i="1"/>
  <c r="B278" i="1"/>
  <c r="Y277" i="1"/>
  <c r="C277" i="1"/>
  <c r="B277" i="1"/>
  <c r="Y276" i="1"/>
  <c r="C276" i="1"/>
  <c r="B276" i="1"/>
  <c r="Y275" i="1"/>
  <c r="C275" i="1"/>
  <c r="B275" i="1"/>
  <c r="Y274" i="1"/>
  <c r="C274" i="1"/>
  <c r="B274" i="1"/>
  <c r="Y273" i="1"/>
  <c r="C273" i="1"/>
  <c r="B273" i="1"/>
  <c r="Y272" i="1"/>
  <c r="C272" i="1"/>
  <c r="B272" i="1"/>
  <c r="Y271" i="1"/>
  <c r="C271" i="1"/>
  <c r="B271" i="1"/>
  <c r="Y270" i="1"/>
  <c r="C270" i="1"/>
  <c r="B270" i="1"/>
  <c r="Y269" i="1"/>
  <c r="C269" i="1"/>
  <c r="B269" i="1"/>
  <c r="Y268" i="1"/>
  <c r="C268" i="1"/>
  <c r="B268" i="1"/>
  <c r="Y267" i="1"/>
  <c r="C267" i="1"/>
  <c r="B267" i="1"/>
  <c r="Y266" i="1"/>
  <c r="C266" i="1"/>
  <c r="B266" i="1"/>
  <c r="Y265" i="1"/>
  <c r="C265" i="1"/>
  <c r="B265" i="1"/>
  <c r="Y264" i="1"/>
  <c r="C264" i="1"/>
  <c r="B264" i="1"/>
  <c r="Y263" i="1"/>
  <c r="C263" i="1"/>
  <c r="B263" i="1"/>
  <c r="Y262" i="1"/>
  <c r="C262" i="1"/>
  <c r="B262" i="1"/>
  <c r="Y261" i="1"/>
  <c r="C261" i="1"/>
  <c r="B261" i="1"/>
  <c r="Y260" i="1"/>
  <c r="C260" i="1"/>
  <c r="B260" i="1"/>
  <c r="Y259" i="1"/>
  <c r="C259" i="1"/>
  <c r="B259" i="1"/>
  <c r="Y258" i="1"/>
  <c r="C258" i="1"/>
  <c r="B258" i="1"/>
  <c r="Y257" i="1"/>
  <c r="C257" i="1"/>
  <c r="B257" i="1"/>
  <c r="Y256" i="1"/>
  <c r="C256" i="1"/>
  <c r="B256" i="1"/>
  <c r="Y255" i="1"/>
  <c r="C255" i="1"/>
  <c r="B255" i="1"/>
  <c r="Y254" i="1"/>
  <c r="C254" i="1"/>
  <c r="B254" i="1"/>
  <c r="Y253" i="1"/>
  <c r="C253" i="1"/>
  <c r="B253" i="1"/>
  <c r="Y252" i="1"/>
  <c r="C252" i="1"/>
  <c r="B252" i="1"/>
  <c r="Y251" i="1"/>
  <c r="C251" i="1"/>
  <c r="B251" i="1"/>
  <c r="Y250" i="1"/>
  <c r="C250" i="1"/>
  <c r="B250" i="1"/>
  <c r="Y249" i="1"/>
  <c r="C249" i="1"/>
  <c r="B249" i="1"/>
  <c r="Y248" i="1"/>
  <c r="C248" i="1"/>
  <c r="B248" i="1"/>
  <c r="Y247" i="1"/>
  <c r="C247" i="1"/>
  <c r="B247" i="1"/>
  <c r="Y246" i="1"/>
  <c r="C246" i="1"/>
  <c r="B246" i="1"/>
  <c r="Y245" i="1"/>
  <c r="C245" i="1"/>
  <c r="B245" i="1"/>
  <c r="Y244" i="1"/>
  <c r="C244" i="1"/>
  <c r="B244" i="1"/>
  <c r="Y243" i="1"/>
  <c r="C243" i="1"/>
  <c r="B243" i="1"/>
  <c r="Y242" i="1"/>
  <c r="C242" i="1"/>
  <c r="B242" i="1"/>
  <c r="Y241" i="1"/>
  <c r="C241" i="1"/>
  <c r="B241" i="1"/>
  <c r="Y240" i="1"/>
  <c r="C240" i="1"/>
  <c r="B240" i="1"/>
  <c r="Y239" i="1"/>
  <c r="C239" i="1"/>
  <c r="B239" i="1"/>
  <c r="Y238" i="1"/>
  <c r="C238" i="1"/>
  <c r="B238" i="1"/>
  <c r="Y237" i="1"/>
  <c r="C237" i="1"/>
  <c r="B237" i="1"/>
  <c r="Y236" i="1"/>
  <c r="C236" i="1"/>
  <c r="B236" i="1"/>
  <c r="Y235" i="1"/>
  <c r="C235" i="1"/>
  <c r="B235" i="1"/>
  <c r="Y234" i="1"/>
  <c r="C234" i="1"/>
  <c r="B234" i="1"/>
  <c r="Y233" i="1"/>
  <c r="C233" i="1"/>
  <c r="B233" i="1"/>
  <c r="Y232" i="1"/>
  <c r="C232" i="1"/>
  <c r="B232" i="1"/>
  <c r="Y231" i="1"/>
  <c r="C231" i="1"/>
  <c r="B231" i="1"/>
  <c r="Y230" i="1"/>
  <c r="C230" i="1"/>
  <c r="B230" i="1"/>
  <c r="Y229" i="1"/>
  <c r="C229" i="1"/>
  <c r="B229" i="1"/>
  <c r="Y228" i="1"/>
  <c r="C228" i="1"/>
  <c r="B228" i="1"/>
  <c r="Y227" i="1"/>
  <c r="C227" i="1"/>
  <c r="B227" i="1"/>
  <c r="Y226" i="1"/>
  <c r="C226" i="1"/>
  <c r="B226" i="1"/>
  <c r="Y225" i="1"/>
  <c r="C225" i="1"/>
  <c r="B225" i="1"/>
  <c r="Y224" i="1"/>
  <c r="C224" i="1"/>
  <c r="B224" i="1"/>
  <c r="Y223" i="1"/>
  <c r="C223" i="1"/>
  <c r="B223" i="1"/>
  <c r="Y222" i="1"/>
  <c r="C222" i="1"/>
  <c r="B222" i="1"/>
  <c r="Y221" i="1"/>
  <c r="C221" i="1"/>
  <c r="B221" i="1"/>
  <c r="Y220" i="1"/>
  <c r="C220" i="1"/>
  <c r="B220" i="1"/>
  <c r="Y219" i="1"/>
  <c r="C219" i="1"/>
  <c r="B219" i="1"/>
  <c r="Y218" i="1"/>
  <c r="C218" i="1"/>
  <c r="B218" i="1"/>
  <c r="Y217" i="1"/>
  <c r="C217" i="1"/>
  <c r="B217" i="1"/>
  <c r="Y216" i="1"/>
  <c r="C216" i="1"/>
  <c r="B216" i="1"/>
  <c r="Y215" i="1"/>
  <c r="C215" i="1"/>
  <c r="B215" i="1"/>
  <c r="Y214" i="1"/>
  <c r="C214" i="1"/>
  <c r="B214" i="1"/>
  <c r="Y213" i="1"/>
  <c r="C213" i="1"/>
  <c r="B213" i="1"/>
  <c r="Y212" i="1"/>
  <c r="C212" i="1"/>
  <c r="B212" i="1"/>
  <c r="Y211" i="1"/>
  <c r="C211" i="1"/>
  <c r="B211" i="1"/>
  <c r="Y210" i="1"/>
  <c r="C210" i="1"/>
  <c r="B210" i="1"/>
  <c r="Y209" i="1"/>
  <c r="C209" i="1"/>
  <c r="B209" i="1"/>
  <c r="Y208" i="1"/>
  <c r="C208" i="1"/>
  <c r="B208" i="1"/>
  <c r="Y207" i="1"/>
  <c r="C207" i="1"/>
  <c r="B207" i="1"/>
  <c r="Y206" i="1"/>
  <c r="C206" i="1"/>
  <c r="B206" i="1"/>
  <c r="Y205" i="1"/>
  <c r="C205" i="1"/>
  <c r="B205" i="1"/>
  <c r="Y204" i="1"/>
  <c r="C204" i="1"/>
  <c r="B204" i="1"/>
  <c r="Y203" i="1"/>
  <c r="C203" i="1"/>
  <c r="B203" i="1"/>
  <c r="Y202" i="1"/>
  <c r="C202" i="1"/>
  <c r="B202" i="1"/>
  <c r="Y201" i="1"/>
  <c r="C201" i="1"/>
  <c r="B201" i="1"/>
  <c r="Y200" i="1"/>
  <c r="C200" i="1"/>
  <c r="B200" i="1"/>
  <c r="Y199" i="1"/>
  <c r="C199" i="1"/>
  <c r="B199" i="1"/>
  <c r="Y198" i="1"/>
  <c r="C198" i="1"/>
  <c r="B198" i="1"/>
  <c r="Y197" i="1"/>
  <c r="C197" i="1"/>
  <c r="B197" i="1"/>
  <c r="Y196" i="1"/>
  <c r="C196" i="1"/>
  <c r="B196" i="1"/>
  <c r="Y195" i="1"/>
  <c r="C195" i="1"/>
  <c r="B195" i="1"/>
  <c r="Y194" i="1"/>
  <c r="C194" i="1"/>
  <c r="B194" i="1"/>
  <c r="Y193" i="1"/>
  <c r="C193" i="1"/>
  <c r="B193" i="1"/>
  <c r="Y192" i="1"/>
  <c r="C192" i="1"/>
  <c r="B192" i="1"/>
  <c r="Y191" i="1"/>
  <c r="C191" i="1"/>
  <c r="B191" i="1"/>
  <c r="Y190" i="1"/>
  <c r="C190" i="1"/>
  <c r="B190" i="1"/>
  <c r="Y189" i="1"/>
  <c r="C189" i="1"/>
  <c r="B189" i="1"/>
  <c r="Y188" i="1"/>
  <c r="C188" i="1"/>
  <c r="B188" i="1"/>
  <c r="Y187" i="1"/>
  <c r="C187" i="1"/>
  <c r="B187" i="1"/>
  <c r="Y186" i="1"/>
  <c r="C186" i="1"/>
  <c r="B186" i="1"/>
  <c r="Y185" i="1"/>
  <c r="C185" i="1"/>
  <c r="B185" i="1"/>
  <c r="Y184" i="1"/>
  <c r="C184" i="1"/>
  <c r="B184" i="1"/>
  <c r="Y183" i="1"/>
  <c r="C183" i="1"/>
  <c r="B183" i="1"/>
  <c r="Y182" i="1"/>
  <c r="C182" i="1"/>
  <c r="B182" i="1"/>
  <c r="Y181" i="1"/>
  <c r="C181" i="1"/>
  <c r="B181" i="1"/>
  <c r="Y180" i="1"/>
  <c r="C180" i="1"/>
  <c r="B180" i="1"/>
  <c r="Y179" i="1"/>
  <c r="C179" i="1"/>
  <c r="B179" i="1"/>
  <c r="Y178" i="1"/>
  <c r="C178" i="1"/>
  <c r="B178" i="1"/>
  <c r="Y177" i="1"/>
  <c r="C177" i="1"/>
  <c r="B177" i="1"/>
  <c r="Y176" i="1"/>
  <c r="C176" i="1"/>
  <c r="B176" i="1"/>
  <c r="Y175" i="1"/>
  <c r="C175" i="1"/>
  <c r="B175" i="1"/>
  <c r="Y174" i="1"/>
  <c r="C174" i="1"/>
  <c r="B174" i="1"/>
  <c r="Y173" i="1"/>
  <c r="C173" i="1"/>
  <c r="B173" i="1"/>
  <c r="Y172" i="1"/>
  <c r="C172" i="1"/>
  <c r="B172" i="1"/>
  <c r="Y171" i="1"/>
  <c r="C171" i="1"/>
  <c r="B171" i="1"/>
  <c r="Y170" i="1"/>
  <c r="C170" i="1"/>
  <c r="B170" i="1"/>
  <c r="Y169" i="1"/>
  <c r="C169" i="1"/>
  <c r="B169" i="1"/>
  <c r="Y168" i="1"/>
  <c r="C168" i="1"/>
  <c r="B168" i="1"/>
  <c r="Y167" i="1"/>
  <c r="C167" i="1"/>
  <c r="B167" i="1"/>
  <c r="Y166" i="1"/>
  <c r="C166" i="1"/>
  <c r="B166" i="1"/>
  <c r="Y165" i="1"/>
  <c r="C165" i="1"/>
  <c r="B165" i="1"/>
  <c r="Y164" i="1"/>
  <c r="C164" i="1"/>
  <c r="B164" i="1"/>
  <c r="Y163" i="1"/>
  <c r="C163" i="1"/>
  <c r="B163" i="1"/>
  <c r="Y162" i="1"/>
  <c r="C162" i="1"/>
  <c r="B162" i="1"/>
  <c r="Y161" i="1"/>
  <c r="C161" i="1"/>
  <c r="B161" i="1"/>
  <c r="Y160" i="1"/>
  <c r="C160" i="1"/>
  <c r="B160" i="1"/>
  <c r="Y159" i="1"/>
  <c r="B159" i="1"/>
  <c r="Y158" i="1"/>
  <c r="B158" i="1"/>
  <c r="Y157" i="1"/>
  <c r="C157" i="1"/>
  <c r="B157" i="1"/>
  <c r="Y156" i="1"/>
  <c r="C156" i="1"/>
  <c r="B156" i="1"/>
  <c r="Y155" i="1"/>
  <c r="C155" i="1"/>
  <c r="B155" i="1"/>
  <c r="Y154" i="1"/>
  <c r="C154" i="1"/>
  <c r="B154" i="1"/>
  <c r="Y153" i="1"/>
  <c r="C153" i="1"/>
  <c r="B153" i="1"/>
  <c r="Y152" i="1"/>
  <c r="C152" i="1"/>
  <c r="B152" i="1"/>
  <c r="Y151" i="1"/>
  <c r="C151" i="1"/>
  <c r="B151" i="1"/>
  <c r="Y150" i="1"/>
  <c r="C150" i="1"/>
  <c r="B150" i="1"/>
  <c r="Y149" i="1"/>
  <c r="C149" i="1"/>
  <c r="B149" i="1"/>
  <c r="Y148" i="1"/>
  <c r="C148" i="1"/>
  <c r="B148" i="1"/>
  <c r="Y147" i="1"/>
  <c r="C147" i="1"/>
  <c r="B147" i="1"/>
  <c r="Y146" i="1"/>
  <c r="C146" i="1"/>
  <c r="B146" i="1"/>
  <c r="Y145" i="1"/>
  <c r="C145" i="1"/>
  <c r="B145" i="1"/>
  <c r="Y144" i="1"/>
  <c r="C144" i="1"/>
  <c r="B144" i="1"/>
  <c r="Y143" i="1"/>
  <c r="C143" i="1"/>
  <c r="B143" i="1"/>
  <c r="Y142" i="1"/>
  <c r="C142" i="1"/>
  <c r="B142" i="1"/>
  <c r="Y141" i="1"/>
  <c r="C141" i="1"/>
  <c r="B141" i="1"/>
  <c r="Y140" i="1"/>
  <c r="C140" i="1"/>
  <c r="B140" i="1"/>
  <c r="Y139" i="1"/>
  <c r="C139" i="1"/>
  <c r="B139" i="1"/>
  <c r="Y138" i="1"/>
  <c r="C138" i="1"/>
  <c r="B138" i="1"/>
  <c r="Y137" i="1"/>
  <c r="C137" i="1"/>
  <c r="B137" i="1"/>
  <c r="Y136" i="1"/>
  <c r="C136" i="1"/>
  <c r="B136" i="1"/>
  <c r="Y135" i="1"/>
  <c r="C135" i="1"/>
  <c r="B135" i="1"/>
  <c r="Y134" i="1"/>
  <c r="C134" i="1"/>
  <c r="B134" i="1"/>
  <c r="Y133" i="1"/>
  <c r="C133" i="1"/>
  <c r="B133" i="1"/>
  <c r="Y132" i="1"/>
  <c r="C132" i="1"/>
  <c r="B132" i="1"/>
  <c r="Y131" i="1"/>
  <c r="C131" i="1"/>
  <c r="B131" i="1"/>
  <c r="Y130" i="1"/>
  <c r="C130" i="1"/>
  <c r="B130" i="1"/>
  <c r="Y129" i="1"/>
  <c r="C129" i="1"/>
  <c r="B129" i="1"/>
  <c r="Y128" i="1"/>
  <c r="C128" i="1"/>
  <c r="B128" i="1"/>
  <c r="Y127" i="1"/>
  <c r="C127" i="1"/>
  <c r="B127" i="1"/>
  <c r="Y126" i="1"/>
  <c r="C126" i="1"/>
  <c r="B126" i="1"/>
  <c r="Y125" i="1"/>
  <c r="C125" i="1"/>
  <c r="B125" i="1"/>
  <c r="Y124" i="1"/>
  <c r="C124" i="1"/>
  <c r="B124" i="1"/>
  <c r="Y123" i="1"/>
  <c r="C123" i="1"/>
  <c r="B123" i="1"/>
  <c r="Y122" i="1"/>
  <c r="C122" i="1"/>
  <c r="B122" i="1"/>
  <c r="Y121" i="1"/>
  <c r="C121" i="1"/>
  <c r="B121" i="1"/>
  <c r="Y120" i="1"/>
  <c r="C120" i="1"/>
  <c r="B120" i="1"/>
  <c r="Y119" i="1"/>
  <c r="C119" i="1"/>
  <c r="B119" i="1"/>
  <c r="Y118" i="1"/>
  <c r="C118" i="1"/>
  <c r="B118" i="1"/>
  <c r="Y117" i="1"/>
  <c r="C117" i="1"/>
  <c r="B117" i="1"/>
  <c r="Y116" i="1"/>
  <c r="C116" i="1"/>
  <c r="B116" i="1"/>
  <c r="Y115" i="1"/>
  <c r="C115" i="1"/>
  <c r="B115" i="1"/>
  <c r="Y114" i="1"/>
  <c r="C114" i="1"/>
  <c r="B114" i="1"/>
  <c r="Y113" i="1"/>
  <c r="C113" i="1"/>
  <c r="B113" i="1"/>
  <c r="Y112" i="1"/>
  <c r="C112" i="1"/>
  <c r="B112" i="1"/>
  <c r="Y111" i="1"/>
  <c r="C111" i="1"/>
  <c r="B111" i="1"/>
  <c r="Y110" i="1"/>
  <c r="C110" i="1"/>
  <c r="B110" i="1"/>
  <c r="Y109" i="1"/>
  <c r="C109" i="1"/>
  <c r="B109" i="1"/>
  <c r="Y108" i="1"/>
  <c r="C108" i="1"/>
  <c r="B108" i="1"/>
  <c r="Y107" i="1"/>
  <c r="C107" i="1"/>
  <c r="B107" i="1"/>
  <c r="Y106" i="1"/>
  <c r="C106" i="1"/>
  <c r="B106" i="1"/>
  <c r="Y105" i="1"/>
  <c r="C105" i="1"/>
  <c r="B105" i="1"/>
  <c r="Y104" i="1"/>
  <c r="C104" i="1"/>
  <c r="B104" i="1"/>
  <c r="Y103" i="1"/>
  <c r="B103" i="1"/>
  <c r="Y102" i="1"/>
  <c r="C102" i="1"/>
  <c r="B102" i="1"/>
  <c r="Y101" i="1"/>
  <c r="C101" i="1"/>
  <c r="B101" i="1"/>
  <c r="Y100" i="1"/>
  <c r="C100" i="1"/>
  <c r="B100" i="1"/>
  <c r="Y99" i="1"/>
  <c r="C99" i="1"/>
  <c r="B99" i="1"/>
  <c r="Y98" i="1"/>
  <c r="C98" i="1"/>
  <c r="B98" i="1"/>
  <c r="Y97" i="1"/>
  <c r="C97" i="1"/>
  <c r="B97" i="1"/>
  <c r="Y96" i="1"/>
  <c r="C96" i="1"/>
  <c r="B96" i="1"/>
  <c r="Y95" i="1"/>
  <c r="C95" i="1"/>
  <c r="B95" i="1"/>
  <c r="Y94" i="1"/>
  <c r="C94" i="1"/>
  <c r="B94" i="1"/>
  <c r="Y93" i="1"/>
  <c r="C93" i="1"/>
  <c r="B93" i="1"/>
  <c r="Y92" i="1"/>
  <c r="C92" i="1"/>
  <c r="B92" i="1"/>
  <c r="Y91" i="1"/>
  <c r="C91" i="1"/>
  <c r="B91" i="1"/>
  <c r="Y90" i="1"/>
  <c r="C90" i="1"/>
  <c r="B90" i="1"/>
  <c r="Y89" i="1"/>
  <c r="C89" i="1"/>
  <c r="B89" i="1"/>
  <c r="Y88" i="1"/>
  <c r="C88" i="1"/>
  <c r="B88" i="1"/>
  <c r="Y87" i="1"/>
  <c r="C87" i="1"/>
  <c r="B87" i="1"/>
  <c r="Y86" i="1"/>
  <c r="C86" i="1"/>
  <c r="B86" i="1"/>
  <c r="Y85" i="1"/>
  <c r="C85" i="1"/>
  <c r="B85" i="1"/>
  <c r="Y84" i="1"/>
  <c r="C84" i="1"/>
  <c r="B84" i="1"/>
  <c r="Y83" i="1"/>
  <c r="C83" i="1"/>
  <c r="B83" i="1"/>
  <c r="Y82" i="1"/>
  <c r="C82" i="1"/>
  <c r="B82" i="1"/>
  <c r="Y81" i="1"/>
  <c r="C81" i="1"/>
  <c r="B81" i="1"/>
  <c r="Y80" i="1"/>
  <c r="C80" i="1"/>
  <c r="B80" i="1"/>
  <c r="Y79" i="1"/>
  <c r="C79" i="1"/>
  <c r="B79" i="1"/>
  <c r="Y78" i="1"/>
  <c r="C78" i="1"/>
  <c r="B78" i="1"/>
  <c r="Y77" i="1"/>
  <c r="C77" i="1"/>
  <c r="B77" i="1"/>
  <c r="Y76" i="1"/>
  <c r="C76" i="1"/>
  <c r="B76" i="1"/>
  <c r="Y75" i="1"/>
  <c r="C75" i="1"/>
  <c r="B75" i="1"/>
  <c r="Y74" i="1"/>
  <c r="C74" i="1"/>
  <c r="B74" i="1"/>
  <c r="Y73" i="1"/>
  <c r="C73" i="1"/>
  <c r="B73" i="1"/>
  <c r="Y72" i="1"/>
  <c r="C72" i="1"/>
  <c r="B72" i="1"/>
  <c r="Y71" i="1"/>
  <c r="C71" i="1"/>
  <c r="B71" i="1"/>
  <c r="Y70" i="1"/>
  <c r="C70" i="1"/>
  <c r="B70" i="1"/>
  <c r="Y69" i="1"/>
  <c r="C69" i="1"/>
  <c r="B69" i="1"/>
  <c r="Y68" i="1"/>
  <c r="C68" i="1"/>
  <c r="B68" i="1"/>
  <c r="Y67" i="1"/>
  <c r="C67" i="1"/>
  <c r="B67" i="1"/>
  <c r="Y66" i="1"/>
  <c r="C66" i="1"/>
  <c r="B66" i="1"/>
  <c r="Y65" i="1"/>
  <c r="C65" i="1"/>
  <c r="B65" i="1"/>
  <c r="Y64" i="1"/>
  <c r="C64" i="1"/>
  <c r="B64" i="1"/>
  <c r="Y63" i="1"/>
  <c r="C63" i="1"/>
  <c r="B63" i="1"/>
  <c r="Y62" i="1"/>
  <c r="C62" i="1"/>
  <c r="B62" i="1"/>
  <c r="Y61" i="1"/>
  <c r="C61" i="1"/>
  <c r="B61" i="1"/>
  <c r="Y60" i="1"/>
  <c r="C60" i="1"/>
  <c r="B60" i="1"/>
  <c r="Y59" i="1"/>
  <c r="C59" i="1"/>
  <c r="B59" i="1"/>
  <c r="Y58" i="1"/>
  <c r="C58" i="1"/>
  <c r="B58" i="1"/>
  <c r="Y57" i="1"/>
  <c r="C57" i="1"/>
  <c r="B57" i="1"/>
  <c r="Y56" i="1"/>
  <c r="C56" i="1"/>
  <c r="B56" i="1"/>
  <c r="Y55" i="1"/>
  <c r="C55" i="1"/>
  <c r="B55" i="1"/>
  <c r="Y54" i="1"/>
  <c r="C54" i="1"/>
  <c r="B54" i="1"/>
  <c r="Y53" i="1"/>
  <c r="C53" i="1"/>
  <c r="B53" i="1"/>
  <c r="Y52" i="1"/>
  <c r="C52" i="1"/>
  <c r="B52" i="1"/>
  <c r="Y51" i="1"/>
  <c r="C51" i="1"/>
  <c r="B51" i="1"/>
  <c r="Y50" i="1"/>
  <c r="C50" i="1"/>
  <c r="B50" i="1"/>
  <c r="Y49" i="1"/>
  <c r="C49" i="1"/>
  <c r="B49" i="1"/>
  <c r="Y48" i="1"/>
  <c r="C48" i="1"/>
  <c r="B48" i="1"/>
  <c r="Y47" i="1"/>
  <c r="C47" i="1"/>
  <c r="B47" i="1"/>
  <c r="Y46" i="1"/>
  <c r="C46" i="1"/>
  <c r="B46" i="1"/>
  <c r="Y45" i="1"/>
  <c r="C45" i="1"/>
  <c r="B45" i="1"/>
  <c r="Y44" i="1"/>
  <c r="C44" i="1"/>
  <c r="B44" i="1"/>
  <c r="Y43" i="1"/>
  <c r="C43" i="1"/>
  <c r="B43" i="1"/>
  <c r="Y42" i="1"/>
  <c r="C42" i="1"/>
  <c r="B42" i="1"/>
  <c r="Y41" i="1"/>
  <c r="C41" i="1"/>
  <c r="B41" i="1"/>
  <c r="Y40" i="1"/>
  <c r="C40" i="1"/>
  <c r="B40" i="1"/>
  <c r="Y39" i="1"/>
  <c r="C39" i="1"/>
  <c r="B39" i="1"/>
  <c r="Y38" i="1"/>
  <c r="C38" i="1"/>
  <c r="B38" i="1"/>
  <c r="Y37" i="1"/>
  <c r="C37" i="1"/>
  <c r="B37" i="1"/>
  <c r="Y36" i="1"/>
  <c r="C36" i="1"/>
  <c r="B36" i="1"/>
  <c r="Y35" i="1"/>
  <c r="C35" i="1"/>
  <c r="B35" i="1"/>
  <c r="Y34" i="1"/>
  <c r="C34" i="1"/>
  <c r="B34" i="1"/>
  <c r="Y33" i="1"/>
  <c r="C33" i="1"/>
  <c r="B33" i="1"/>
  <c r="Y32" i="1"/>
  <c r="C32" i="1"/>
  <c r="B32" i="1"/>
  <c r="Y31" i="1"/>
  <c r="C31" i="1"/>
  <c r="B31" i="1"/>
  <c r="Y30" i="1"/>
  <c r="C30" i="1"/>
  <c r="B30" i="1"/>
  <c r="Y29" i="1"/>
  <c r="C29" i="1"/>
  <c r="B29" i="1"/>
  <c r="Y28" i="1"/>
  <c r="C28" i="1"/>
  <c r="B28" i="1"/>
  <c r="Y27" i="1"/>
  <c r="C27" i="1"/>
  <c r="B27" i="1"/>
  <c r="Y26" i="1"/>
  <c r="C26" i="1"/>
  <c r="B26" i="1"/>
  <c r="Y25" i="1"/>
  <c r="C25" i="1"/>
  <c r="B25" i="1"/>
  <c r="Y24" i="1"/>
  <c r="C24" i="1"/>
  <c r="B24" i="1"/>
  <c r="Y23" i="1"/>
  <c r="C23" i="1"/>
  <c r="B23" i="1"/>
  <c r="Y22" i="1"/>
  <c r="C22" i="1"/>
  <c r="B22" i="1"/>
  <c r="Y21" i="1"/>
  <c r="C21" i="1"/>
  <c r="B21" i="1"/>
  <c r="Y20" i="1"/>
  <c r="C20" i="1"/>
  <c r="B20" i="1"/>
  <c r="Y19" i="1"/>
  <c r="C19" i="1"/>
  <c r="B19" i="1"/>
  <c r="Y18" i="1"/>
  <c r="C18" i="1"/>
  <c r="B18" i="1"/>
  <c r="Y17" i="1"/>
  <c r="O282" i="1" s="1"/>
  <c r="C17" i="1"/>
  <c r="B17" i="1"/>
  <c r="Y16" i="1"/>
  <c r="C16" i="1"/>
  <c r="B16" i="1"/>
  <c r="Y15" i="1"/>
  <c r="C15" i="1"/>
  <c r="B15" i="1"/>
  <c r="C14" i="1"/>
  <c r="B14" i="1"/>
  <c r="Y13" i="1"/>
  <c r="C13" i="1"/>
  <c r="B13" i="1"/>
  <c r="C12" i="1"/>
  <c r="B12" i="1"/>
  <c r="Y11" i="1"/>
  <c r="C11" i="1"/>
  <c r="B11" i="1"/>
  <c r="Y10" i="1"/>
  <c r="C10" i="1"/>
  <c r="B10" i="1"/>
  <c r="Y9" i="1"/>
  <c r="C9" i="1"/>
  <c r="B9" i="1"/>
  <c r="Y8" i="1"/>
  <c r="C8" i="1"/>
  <c r="B8" i="1"/>
  <c r="Y7" i="1"/>
  <c r="C7" i="1"/>
  <c r="B7" i="1"/>
  <c r="Y6" i="1"/>
  <c r="O281" i="1" s="1"/>
  <c r="C6" i="1"/>
  <c r="B6" i="1"/>
  <c r="Y5" i="1"/>
  <c r="C5" i="1"/>
  <c r="B5" i="1"/>
  <c r="Y4" i="1"/>
  <c r="C4" i="1"/>
  <c r="B4" i="1"/>
  <c r="Y3" i="1"/>
  <c r="C3" i="1"/>
  <c r="B3" i="1"/>
  <c r="Y2" i="1"/>
  <c r="C2" i="1"/>
  <c r="B2" i="1"/>
</calcChain>
</file>

<file path=xl/sharedStrings.xml><?xml version="1.0" encoding="utf-8"?>
<sst xmlns="http://schemas.openxmlformats.org/spreadsheetml/2006/main" count="2164" uniqueCount="667">
  <si>
    <t>ITEM</t>
  </si>
  <si>
    <t>Lotes</t>
  </si>
  <si>
    <t>Nova GERÊNCIA</t>
  </si>
  <si>
    <t>COORDENAÇÃO</t>
  </si>
  <si>
    <t>MUNICÍPIO</t>
  </si>
  <si>
    <t>SISTEMA</t>
  </si>
  <si>
    <t>Manancial</t>
  </si>
  <si>
    <t>UNIDADE</t>
  </si>
  <si>
    <t>Latitude[°]</t>
  </si>
  <si>
    <t>Longitude[°]</t>
  </si>
  <si>
    <t>QUANT.</t>
  </si>
  <si>
    <t>DN [mm]</t>
  </si>
  <si>
    <t>CLASSE DE PRESSÃO</t>
  </si>
  <si>
    <t>MACROMEDIÇÃO</t>
  </si>
  <si>
    <t>TECNOLOGIA/TIPO</t>
  </si>
  <si>
    <t>SITUAÇÃO</t>
  </si>
  <si>
    <t>Necessita Cavalete?</t>
  </si>
  <si>
    <t>SITUAÇÃO DA CAIXA</t>
  </si>
  <si>
    <t>SITUAÇÃO DO ABRIGO</t>
  </si>
  <si>
    <t>OBSERVAÇÃO</t>
  </si>
  <si>
    <t>KM</t>
  </si>
  <si>
    <t>50 Maiores</t>
  </si>
  <si>
    <t>P 26</t>
  </si>
  <si>
    <t>Controla pela ANA?</t>
  </si>
  <si>
    <t>Percentual</t>
  </si>
  <si>
    <t>Coordenadas</t>
  </si>
  <si>
    <t>MEDIDORES INOPERANTES - DETALHAMENTO</t>
  </si>
  <si>
    <t>CPR IPOJUCA</t>
  </si>
  <si>
    <t>Belo Jardim</t>
  </si>
  <si>
    <t>ETA - Manoel Longo</t>
  </si>
  <si>
    <t>Rio Bitury</t>
  </si>
  <si>
    <t>EEAB Manoel Longo</t>
  </si>
  <si>
    <t>SIM</t>
  </si>
  <si>
    <t>sim</t>
  </si>
  <si>
    <t>CPR ALTO PAJEU</t>
  </si>
  <si>
    <t>Iguaraci</t>
  </si>
  <si>
    <t>ETA - IGUARACY</t>
  </si>
  <si>
    <t>Rio São Francisco</t>
  </si>
  <si>
    <t>EEAB-01S (Sistema Pajeú - Etapa 02)</t>
  </si>
  <si>
    <t>-</t>
  </si>
  <si>
    <t>CPR MATA SUL</t>
  </si>
  <si>
    <t>Sirinhaém</t>
  </si>
  <si>
    <t>ETA - Sirinhaém</t>
  </si>
  <si>
    <t>EEAB Água Fria de Baixo</t>
  </si>
  <si>
    <t>NÃO</t>
  </si>
  <si>
    <t>CPR SERTAO CENTRAL</t>
  </si>
  <si>
    <t>Terra Nova</t>
  </si>
  <si>
    <t>ETA - Guarani</t>
  </si>
  <si>
    <t>EEAB 01 - Captação Sistema Adutor do Sertão</t>
  </si>
  <si>
    <t>Cabrobó</t>
  </si>
  <si>
    <t>ETA - Cabrobó</t>
  </si>
  <si>
    <t>EEAB-06 (Adutora do Sertão)</t>
  </si>
  <si>
    <t>PN10</t>
  </si>
  <si>
    <t>CPR MOXOTO</t>
  </si>
  <si>
    <t>Arcoverde</t>
  </si>
  <si>
    <t>ETA - ARCOVERDE</t>
  </si>
  <si>
    <t>Riacho  do PAU</t>
  </si>
  <si>
    <t>EEAB -01 Riacho do Pau</t>
  </si>
  <si>
    <t>Orocó</t>
  </si>
  <si>
    <t>ETA - Orocó</t>
  </si>
  <si>
    <t>EEAB Orocó</t>
  </si>
  <si>
    <t>CPR AGRESTE MERIDIONAL</t>
  </si>
  <si>
    <t>Bom Conselho</t>
  </si>
  <si>
    <t>ETA - Bom Conselho</t>
  </si>
  <si>
    <t>Rio Bálsamo</t>
  </si>
  <si>
    <t>EEAB Bálsamo</t>
  </si>
  <si>
    <t>CPR SAO FRANCISCO</t>
  </si>
  <si>
    <t>Petrolina</t>
  </si>
  <si>
    <t>ETA - SERROTE DO URUBU</t>
  </si>
  <si>
    <t>EEAB Serrote do Urubu</t>
  </si>
  <si>
    <t>ELETROMAGNÉTICO CARRETEL</t>
  </si>
  <si>
    <t>OK</t>
  </si>
  <si>
    <t>Medidor substituído. Operando normalmente.</t>
  </si>
  <si>
    <t>ETA - VITÓRIA - PETROLINA</t>
  </si>
  <si>
    <t>EEAB 02 - Vitória</t>
  </si>
  <si>
    <t>AUSENTE (SALA DOS CMB's)</t>
  </si>
  <si>
    <t>Medidor Siemens, operacional. Falta infraestrutura para abrigo. O conversor está na parede da EEAB, ao lado dos quadro de comando dos CMB's.</t>
  </si>
  <si>
    <t>CPR ALTO CAPIBARIBE</t>
  </si>
  <si>
    <t>Cumaru</t>
  </si>
  <si>
    <t>ETA - Ameixas</t>
  </si>
  <si>
    <t>Rio Capibaribe</t>
  </si>
  <si>
    <t>EEAB-01 Jucazinho</t>
  </si>
  <si>
    <t>−7,96536944</t>
  </si>
  <si>
    <t>−35,73838333</t>
  </si>
  <si>
    <t>CPR NORTE</t>
  </si>
  <si>
    <t>Recife</t>
  </si>
  <si>
    <t>ETA - ALTO DO CEU</t>
  </si>
  <si>
    <t>EEAB Monjope p/ Alto do Céu</t>
  </si>
  <si>
    <t>ULTRASSÔNICO/INTRUSIVO</t>
  </si>
  <si>
    <t>BARRAGEM DO ROSÁRIO (Rio da Volta e Riacho do Pau do Fundo)</t>
  </si>
  <si>
    <t>Barragem Rosário</t>
  </si>
  <si>
    <t>Ingazeira</t>
  </si>
  <si>
    <t>ETA - INGAZEIRA</t>
  </si>
  <si>
    <t>BARRAGEM DO ROSÁRIO (Rio Pajeú)</t>
  </si>
  <si>
    <t>ETA - JABITACÁ</t>
  </si>
  <si>
    <t>CPR MATA NORTE</t>
  </si>
  <si>
    <t>Nazaré da Mata</t>
  </si>
  <si>
    <t>ETA - Nazaré da Mata</t>
  </si>
  <si>
    <t>Barragem Morojozinho</t>
  </si>
  <si>
    <t>VISITA</t>
  </si>
  <si>
    <t>Lagoa de Itaenga</t>
  </si>
  <si>
    <t>ETA - Lagoa de Itaenga</t>
  </si>
  <si>
    <t>Barragem Lagoa do Carro (Antiga Barragem Carpina)</t>
  </si>
  <si>
    <t>Flutuante na Barragem Lagoa do Carro</t>
  </si>
  <si>
    <t>AUSENTE</t>
  </si>
  <si>
    <t>Mesmo medidor da chegada na ETA.</t>
  </si>
  <si>
    <t>Lagoa do Carro</t>
  </si>
  <si>
    <t>ETA - Lagoa do Carro</t>
  </si>
  <si>
    <t>Glória do Goitá</t>
  </si>
  <si>
    <t>ETA - Glória do Goitá</t>
  </si>
  <si>
    <t>EEAB Glória do Goitá - Linha 01</t>
  </si>
  <si>
    <t>EEAB Glória do Goitá - Linha 02</t>
  </si>
  <si>
    <t>Feira Nova</t>
  </si>
  <si>
    <t>ETA - Feira Nova</t>
  </si>
  <si>
    <t>EEAB Feira Nova (Barragem Lagoa do Carro) - Linha 01</t>
  </si>
  <si>
    <t>EEAB Feira Nova (Barragem Lagoa do Carro) - Linha 02</t>
  </si>
  <si>
    <t>Brejão</t>
  </si>
  <si>
    <t>ETA - Brejão</t>
  </si>
  <si>
    <t>Barragem Tatuaçu</t>
  </si>
  <si>
    <t>CPR PAJEU</t>
  </si>
  <si>
    <t>Serra Talhada</t>
  </si>
  <si>
    <t>ETA - SERRA TALHADA</t>
  </si>
  <si>
    <t>Cachoeira II</t>
  </si>
  <si>
    <t>Barragem Cachoeira II - Sifão</t>
  </si>
  <si>
    <t>7°58'28.40"S 38°19'16.13"W</t>
  </si>
  <si>
    <t>Barragem Cachoeira II - Descarga de Fundo</t>
  </si>
  <si>
    <t>Paudalho</t>
  </si>
  <si>
    <t>ETA - Guadalajara</t>
  </si>
  <si>
    <t xml:space="preserve">Barragem Glória do Goitá </t>
  </si>
  <si>
    <t>EEAB Guadalajara</t>
  </si>
  <si>
    <t>ETA - Bitury</t>
  </si>
  <si>
    <t>Barragem Bitury - Descarga de Fundo</t>
  </si>
  <si>
    <t>ELETROMAGNÉTICO/CARRETEL</t>
  </si>
  <si>
    <t>Barragem Bitury - Flutuante</t>
  </si>
  <si>
    <t>EEAB Paratibe</t>
  </si>
  <si>
    <t>ELETROMAGNÉTICO/INSERÇÃO</t>
  </si>
  <si>
    <t>Pedra</t>
  </si>
  <si>
    <t>ETA - Pedra</t>
  </si>
  <si>
    <t>Açude Mororó</t>
  </si>
  <si>
    <t>EEAB Mororó</t>
  </si>
  <si>
    <t>Venturosa</t>
  </si>
  <si>
    <t>ETA - VENTUROSA</t>
  </si>
  <si>
    <t>Açude Ingazeira</t>
  </si>
  <si>
    <t>EEAB Açude Ingazeira</t>
  </si>
  <si>
    <t>ADEQUAÇÃO</t>
  </si>
  <si>
    <t>Medidor sem funcionar (Incontrol). Precisa de conversor.</t>
  </si>
  <si>
    <t>Tamandaré</t>
  </si>
  <si>
    <t>ETA - Tamandaré/ETA Velha</t>
  </si>
  <si>
    <t>Açude Saltinho</t>
  </si>
  <si>
    <t>Açude Saltinho (gravidade)</t>
  </si>
  <si>
    <t>Belém do São Francisco</t>
  </si>
  <si>
    <t>ETA - Belém de São Francisco</t>
  </si>
  <si>
    <t>EEAB Belém de São Francisco</t>
  </si>
  <si>
    <t>AUSENTE (SALA DO OPERADOR)</t>
  </si>
  <si>
    <t>Medido na chegda da ETA. Distância de até 200 m da captação.</t>
  </si>
  <si>
    <t>Sertânia</t>
  </si>
  <si>
    <t>ETA - SERTÂNIA</t>
  </si>
  <si>
    <t>EEAB (Flutuante) Açude Barra</t>
  </si>
  <si>
    <t>Floresta</t>
  </si>
  <si>
    <t>ETA - FLORESTA</t>
  </si>
  <si>
    <t>EEAB-01F (Sistema Pajeú - Etapa 01)</t>
  </si>
  <si>
    <t>Santa Maria da Boa Vista</t>
  </si>
  <si>
    <t>ETA - Santa Maria da Boa Vista</t>
  </si>
  <si>
    <t>Chegada na ETA (100 m da captação)</t>
  </si>
  <si>
    <t>Itacuruba</t>
  </si>
  <si>
    <t>ETA - ITACURUBA</t>
  </si>
  <si>
    <t>EEAB Itacuruba</t>
  </si>
  <si>
    <t>PN 10</t>
  </si>
  <si>
    <t>Timbaúba</t>
  </si>
  <si>
    <t>ETA - Timbaúba</t>
  </si>
  <si>
    <t>Barragem Trás dos Montes</t>
  </si>
  <si>
    <t>Usina Barra</t>
  </si>
  <si>
    <t>Paranatama</t>
  </si>
  <si>
    <t>ETA - Paranatama</t>
  </si>
  <si>
    <t>Poços Alugados</t>
  </si>
  <si>
    <t>Poço 01 - alugado</t>
  </si>
  <si>
    <t>Poço 02 - alugado</t>
  </si>
  <si>
    <t>Petrolândia</t>
  </si>
  <si>
    <t>ETA - PETROLÂNDIA</t>
  </si>
  <si>
    <t>EEAB Petrolândia</t>
  </si>
  <si>
    <t>PN 16</t>
  </si>
  <si>
    <t>Pesqueira</t>
  </si>
  <si>
    <t>ETA - Afetos</t>
  </si>
  <si>
    <t>Barragem Pedra d'Água</t>
  </si>
  <si>
    <t>Lagoa Grande</t>
  </si>
  <si>
    <t>ETA - LAGOA GRANDE</t>
  </si>
  <si>
    <t>EEAB Lagoa Grande</t>
  </si>
  <si>
    <t>9° 3'8.49"S 40°14'54.84"W</t>
  </si>
  <si>
    <t>Jatobá</t>
  </si>
  <si>
    <t>ETA - VOLTA DO MOXOTÓ</t>
  </si>
  <si>
    <t>Rio Moxotó</t>
  </si>
  <si>
    <t>EEAB Flutuante - Volta do Moxotó</t>
  </si>
  <si>
    <t>EEAB 01 - Vitória</t>
  </si>
  <si>
    <t>ETA - PETROLINA II</t>
  </si>
  <si>
    <t>EEAB Petrolina 02</t>
  </si>
  <si>
    <t>ETA - PETROLINA I</t>
  </si>
  <si>
    <t>EEAB-Petrolina 01</t>
  </si>
  <si>
    <t>ULTRASSÔNICO/CLAMP-ON</t>
  </si>
  <si>
    <t>OPERACIONAL</t>
  </si>
  <si>
    <t>ETA - Vermelhos</t>
  </si>
  <si>
    <t>EEAB Vermelhos</t>
  </si>
  <si>
    <t>ETA - JATOBÁ (ITAPARICA)</t>
  </si>
  <si>
    <t>EEAB-Jatoba</t>
  </si>
  <si>
    <t>Afogados da Ingazeira</t>
  </si>
  <si>
    <t>ETA - AFOGADOS DA INGAZEIRA</t>
  </si>
  <si>
    <t>Barragem Brotas</t>
  </si>
  <si>
    <t>CPR AGRESTE CENTRAL</t>
  </si>
  <si>
    <t>Agrestina</t>
  </si>
  <si>
    <t>ETA - NOVA AGRESTINA</t>
  </si>
  <si>
    <t>EEAB-01 Prata</t>
  </si>
  <si>
    <t>CPR RUSSAS</t>
  </si>
  <si>
    <t>Panelas</t>
  </si>
  <si>
    <t>ETA - CRUZES</t>
  </si>
  <si>
    <t>EEAB  Santa Luzia</t>
  </si>
  <si>
    <t>Águas Belas</t>
  </si>
  <si>
    <t>ETA - Águas Belas</t>
  </si>
  <si>
    <t>(Ad. Do Agreste) - (chega água dos poços de Tupanatinga)</t>
  </si>
  <si>
    <t>Poço Brejão</t>
  </si>
  <si>
    <t>Correntes</t>
  </si>
  <si>
    <t>ETA - Poço Comprido</t>
  </si>
  <si>
    <t>EEAB Poço Comprido</t>
  </si>
  <si>
    <t>Barragem de Inhúmas (EEAB indipendente).</t>
  </si>
  <si>
    <t>ETA - BARRA DO JARDIM</t>
  </si>
  <si>
    <t>Araçoiaba</t>
  </si>
  <si>
    <t>ETA - ARAÇOIABA</t>
  </si>
  <si>
    <t>EEAB ARAÇOIABA</t>
  </si>
  <si>
    <t>Caruaru</t>
  </si>
  <si>
    <t>ETA - Terra Vermelha</t>
  </si>
  <si>
    <t>São Caetano</t>
  </si>
  <si>
    <t>ETA - Maniçoba</t>
  </si>
  <si>
    <t>CPR ARARIPE</t>
  </si>
  <si>
    <t>Araripina</t>
  </si>
  <si>
    <t>ETA - Araripina</t>
  </si>
  <si>
    <t>EEAB-01 (Adutora do Oeste)</t>
  </si>
  <si>
    <t>Saloá</t>
  </si>
  <si>
    <t>ETA - Saloá</t>
  </si>
  <si>
    <t>Captação do Riacho São Serafim</t>
  </si>
  <si>
    <t>Terezinha</t>
  </si>
  <si>
    <t>ETA - Terezinha</t>
  </si>
  <si>
    <t>Barragem Maçaranduba</t>
  </si>
  <si>
    <t>Açude da Transposição</t>
  </si>
  <si>
    <t>EEAB-01 Moxotó</t>
  </si>
  <si>
    <t>ETA - Taquara</t>
  </si>
  <si>
    <t>Barragem Taquara</t>
  </si>
  <si>
    <t>Brejo da Madre de Deus</t>
  </si>
  <si>
    <t>ETA - São José (B Madre de Deus)</t>
  </si>
  <si>
    <t>EEAB São Francisco</t>
  </si>
  <si>
    <t>Barragem Afetos</t>
  </si>
  <si>
    <t>Belém de Maria</t>
  </si>
  <si>
    <t>ETA - BELÉM DE MARIA</t>
  </si>
  <si>
    <t>Barragem do Cajueiro</t>
  </si>
  <si>
    <t>ETA - BATATEIRAS</t>
  </si>
  <si>
    <t>EEAB IPOJUCA (Ad. Do Agreste)</t>
  </si>
  <si>
    <t>Jurema</t>
  </si>
  <si>
    <t>ETA - JUREMA</t>
  </si>
  <si>
    <t>EEAB Banheiros</t>
  </si>
  <si>
    <t>ETA - JENIPAPO - RAP MUTUCA</t>
  </si>
  <si>
    <t>EEAB Jenipapo</t>
  </si>
  <si>
    <t>ETA - Serra dos Ventos</t>
  </si>
  <si>
    <t>EEAB Tabocas p/ Serra dos Ventos</t>
  </si>
  <si>
    <t>Açude Soeiras</t>
  </si>
  <si>
    <t>São Benedito do Sul</t>
  </si>
  <si>
    <t>ETA - SÃO BENEDITO DO SUL</t>
  </si>
  <si>
    <t>Água Fria</t>
  </si>
  <si>
    <t>Maraial</t>
  </si>
  <si>
    <t>ETA - MARAIAL</t>
  </si>
  <si>
    <t>Barragem Perseverança</t>
  </si>
  <si>
    <t>Bonito</t>
  </si>
  <si>
    <t>ETA - Bonito</t>
  </si>
  <si>
    <t>Bonitinho Novo Linha 02 (Bomba Nova)</t>
  </si>
  <si>
    <t>Bezerros</t>
  </si>
  <si>
    <t>ETA - Bezerros</t>
  </si>
  <si>
    <t>EEAB-01 Jucazinho - Tramo SUL</t>
  </si>
  <si>
    <t>ULTRASSÔNICO/INSERÇÃO</t>
  </si>
  <si>
    <t>Bodocó</t>
  </si>
  <si>
    <t>ETA - Luiz Gonzaga</t>
  </si>
  <si>
    <t>Sairé</t>
  </si>
  <si>
    <t>ETA - SAIRÉ</t>
  </si>
  <si>
    <t>Barragem Mata Verde</t>
  </si>
  <si>
    <t>EEAB Baixa Grande</t>
  </si>
  <si>
    <t>EEAB Caboge</t>
  </si>
  <si>
    <t>Capoeiras</t>
  </si>
  <si>
    <t>ETA - Capoeiras</t>
  </si>
  <si>
    <t>Barragem Capoeiras</t>
  </si>
  <si>
    <t>Jupi</t>
  </si>
  <si>
    <t>ETA - Jupi</t>
  </si>
  <si>
    <t>EEAB Santa Rita</t>
  </si>
  <si>
    <t>Taquaritinga do Norte</t>
  </si>
  <si>
    <t>ETA - Pão de Açucar</t>
  </si>
  <si>
    <t>Rede Nova da EEAB Tabocas</t>
  </si>
  <si>
    <t>ETA - Machado</t>
  </si>
  <si>
    <t>Rede Nova da EEAB Tabocas ou Rede Velha da EEAB Tabocas</t>
  </si>
  <si>
    <t>Lagoa do Ouro</t>
  </si>
  <si>
    <t>ETA - Lagoa do Ouro</t>
  </si>
  <si>
    <t>EEAB Riacho da Palha</t>
  </si>
  <si>
    <t>Santa Cruz do Capibaribe</t>
  </si>
  <si>
    <t>ETA - Poço Fundo 02</t>
  </si>
  <si>
    <t>Barragem Poço Fundo</t>
  </si>
  <si>
    <t>Derivação de DN 200 mm da descarga de fundo da Barragem.</t>
  </si>
  <si>
    <t>ETA - Xucurú</t>
  </si>
  <si>
    <t>Poção</t>
  </si>
  <si>
    <t>ETA - Poção</t>
  </si>
  <si>
    <t>Brejinho</t>
  </si>
  <si>
    <t>ETA - BREJINHO</t>
  </si>
  <si>
    <t>São Vicente Férrer</t>
  </si>
  <si>
    <t>ETA - São Vicente Férrer</t>
  </si>
  <si>
    <t>Barragem Alto do Cruzeiro</t>
  </si>
  <si>
    <t>ETA - Barra do Farias</t>
  </si>
  <si>
    <t>ETA - Fazenda Nova</t>
  </si>
  <si>
    <t>João Alfredo</t>
  </si>
  <si>
    <t>ETA - João Alfredo/Canguengo</t>
  </si>
  <si>
    <t>Barragem Canguengo</t>
  </si>
  <si>
    <t>Vicência</t>
  </si>
  <si>
    <t>ETA - Vicência</t>
  </si>
  <si>
    <t>Barragem Coitadinha</t>
  </si>
  <si>
    <t>Machados</t>
  </si>
  <si>
    <t>ETA - Machados</t>
  </si>
  <si>
    <t>Barragem Condadinho</t>
  </si>
  <si>
    <t>Limoeiro</t>
  </si>
  <si>
    <t>ETA - Limoeiro</t>
  </si>
  <si>
    <t>EEAB-Limoeiro (Barragem Lagoa do Carro)</t>
  </si>
  <si>
    <t>CRE NORONHA</t>
  </si>
  <si>
    <t>Fernando de Noronha</t>
  </si>
  <si>
    <t>ETA - BOLDRÓ</t>
  </si>
  <si>
    <t>EEAB Xaréu</t>
  </si>
  <si>
    <t>CPR OESTE</t>
  </si>
  <si>
    <t>Moreno</t>
  </si>
  <si>
    <t>ETA - BONANÇA</t>
  </si>
  <si>
    <t>EEAB Jaboatãozinho</t>
  </si>
  <si>
    <t>Igarassu</t>
  </si>
  <si>
    <t>ETA - BOTAFOGO</t>
  </si>
  <si>
    <t>EEAB Arataca 01</t>
  </si>
  <si>
    <t>Barragem Tiúma</t>
  </si>
  <si>
    <t>Calumbi</t>
  </si>
  <si>
    <t>ETA - CALUMBI</t>
  </si>
  <si>
    <t>EEAB Arataca 02</t>
  </si>
  <si>
    <t>Ferreiros</t>
  </si>
  <si>
    <t>ETA - Ferreiros</t>
  </si>
  <si>
    <t>Barragem Mucambo</t>
  </si>
  <si>
    <t>ETA - Murupé</t>
  </si>
  <si>
    <t>Rio Siriji</t>
  </si>
  <si>
    <t>Barragem de Siriji - Rede 02</t>
  </si>
  <si>
    <t>EEAB Camboinha</t>
  </si>
  <si>
    <t>Barreiros</t>
  </si>
  <si>
    <t>ETA - Barreiros</t>
  </si>
  <si>
    <t>Rio Carimã</t>
  </si>
  <si>
    <t>EEAB Carimã</t>
  </si>
  <si>
    <t>Chã de Alegria</t>
  </si>
  <si>
    <t>ETA - Chã de Alegria</t>
  </si>
  <si>
    <t>Barragem Urubas</t>
  </si>
  <si>
    <t>Carnaíba</t>
  </si>
  <si>
    <t>ETA - CARNAIBA</t>
  </si>
  <si>
    <t>Barragem Vertentinha</t>
  </si>
  <si>
    <t>ETA - Petropolis</t>
  </si>
  <si>
    <t>ETA - Salgado</t>
  </si>
  <si>
    <t>Barragem Vundinha</t>
  </si>
  <si>
    <t>EEAB Flutuante</t>
  </si>
  <si>
    <t>Barragem Santana</t>
  </si>
  <si>
    <t>EEAB Tabocas p/ Belo Jardim</t>
  </si>
  <si>
    <t>Barra de Guabiraba</t>
  </si>
  <si>
    <t>ETA - Barra de Guabiraba</t>
  </si>
  <si>
    <t>Barragem Bonitinho</t>
  </si>
  <si>
    <t>EEAB Bizarra</t>
  </si>
  <si>
    <t>Rio Orobó + Barragem Pedra Fina</t>
  </si>
  <si>
    <t>Bom Jardim</t>
  </si>
  <si>
    <t>ETA - Bizarra</t>
  </si>
  <si>
    <t>EEAB Bizarra (cmb)</t>
  </si>
  <si>
    <t>Bomba pequena dentro prédio da EEAb Bizarra.</t>
  </si>
  <si>
    <t>ETA - Cumaru</t>
  </si>
  <si>
    <t>ETA - Alto Bonito</t>
  </si>
  <si>
    <t>EEAB Iuteporã</t>
  </si>
  <si>
    <t>Custódia</t>
  </si>
  <si>
    <t>ETA - CUSTÓDIA</t>
  </si>
  <si>
    <t>EEAB-Custódia (Sistema Moxotó)</t>
  </si>
  <si>
    <t>Itaquitinga</t>
  </si>
  <si>
    <t>ETA - Itaquitinga</t>
  </si>
  <si>
    <t>Rio Caraubas</t>
  </si>
  <si>
    <t>ETA - PANELAS</t>
  </si>
  <si>
    <t>SÃO Sebastião</t>
  </si>
  <si>
    <t>Macaparana</t>
  </si>
  <si>
    <t>ETA - Macaparana</t>
  </si>
  <si>
    <t>Rio Seridó</t>
  </si>
  <si>
    <t>Aliança</t>
  </si>
  <si>
    <t>ETA - Aliança</t>
  </si>
  <si>
    <t>Barragem Siriji</t>
  </si>
  <si>
    <t>EEAB Conga</t>
  </si>
  <si>
    <t>EEAB Cumbe</t>
  </si>
  <si>
    <t>EEAB Tabatinga</t>
  </si>
  <si>
    <t>ULTRASSÔNICO/ INTRUSIVO</t>
  </si>
  <si>
    <t>Ribeirão</t>
  </si>
  <si>
    <t>ETA - Ribeirão</t>
  </si>
  <si>
    <t>Barragem Ditoso</t>
  </si>
  <si>
    <t>ETA - Vila Mendes</t>
  </si>
  <si>
    <t>Flores</t>
  </si>
  <si>
    <t>ETA - FLORES</t>
  </si>
  <si>
    <t>Pombos</t>
  </si>
  <si>
    <t>ETA - Pombos</t>
  </si>
  <si>
    <t>Açude Banho da Nega</t>
  </si>
  <si>
    <t>Rio Formoso</t>
  </si>
  <si>
    <t>ETA - Rio Formoso</t>
  </si>
  <si>
    <t>Açude Cossocó</t>
  </si>
  <si>
    <t>Açude Ingaí</t>
  </si>
  <si>
    <t>Vitória de Santo Antão</t>
  </si>
  <si>
    <t>ETA - Vitória</t>
  </si>
  <si>
    <t>EEAB Águas Claras</t>
  </si>
  <si>
    <t>Escada</t>
  </si>
  <si>
    <t>ETA - Escada</t>
  </si>
  <si>
    <t>EEAB Pata Choca</t>
  </si>
  <si>
    <t>EEAB Sapocagy</t>
  </si>
  <si>
    <t>São José da Coroa Grande</t>
  </si>
  <si>
    <t>ETA - São José da Coroa Grande</t>
  </si>
  <si>
    <t>Rio Perssinunga</t>
  </si>
  <si>
    <t>EEAB Rio Perssinunga</t>
  </si>
  <si>
    <t>ETA - Santo Amaro do Sirinhaém</t>
  </si>
  <si>
    <t>Carpina</t>
  </si>
  <si>
    <t>ETA - Carpina/Pindoba</t>
  </si>
  <si>
    <t>Barragem Pindoba</t>
  </si>
  <si>
    <t>Barragem de Siriji - Rede 01</t>
  </si>
  <si>
    <t>Barragem Catucá</t>
  </si>
  <si>
    <t>Olinda</t>
  </si>
  <si>
    <t>ETA - CAIXA DAGUA</t>
  </si>
  <si>
    <t>EEAB Guabiraba</t>
  </si>
  <si>
    <t>CPR SUL</t>
  </si>
  <si>
    <t>Ipojuca</t>
  </si>
  <si>
    <t>ETA - CAMELA</t>
  </si>
  <si>
    <t>Riacho São Pedro (Barragem de Nível)</t>
  </si>
  <si>
    <t>Jaboatão dos Guararapes</t>
  </si>
  <si>
    <t>ETA - CASTELO BRANCO</t>
  </si>
  <si>
    <t>Rio Tapacurá</t>
  </si>
  <si>
    <t>Barragem Tapacurá</t>
  </si>
  <si>
    <t>EEAB Duas Unas</t>
  </si>
  <si>
    <t>EEAB Tiúma</t>
  </si>
  <si>
    <t>Cabo de Santo Agostinho</t>
  </si>
  <si>
    <t>ETA - CHARNECA</t>
  </si>
  <si>
    <t>Lago de Sevastopol</t>
  </si>
  <si>
    <t>Riacho do Pavão</t>
  </si>
  <si>
    <t>EEAB Riacho do Pavão</t>
  </si>
  <si>
    <t>ETA - DESSALINIZADOR</t>
  </si>
  <si>
    <t>EEAB Nova (Água do MAR)</t>
  </si>
  <si>
    <t>ULTRASSÔNICO/ NÃO INTRUSIVO</t>
  </si>
  <si>
    <t>EEAB Velha (Água do MAR)</t>
  </si>
  <si>
    <t>Ipubi</t>
  </si>
  <si>
    <t>ETA - Ipubi</t>
  </si>
  <si>
    <t>Itapetim</t>
  </si>
  <si>
    <t>ETA - ITAPETIM</t>
  </si>
  <si>
    <t>EEAB Jussara</t>
  </si>
  <si>
    <t>Goiana</t>
  </si>
  <si>
    <t>ETA - GOIANA</t>
  </si>
  <si>
    <t>RIACHO DOIS RIOS</t>
  </si>
  <si>
    <t>EEAB Dois Rios</t>
  </si>
  <si>
    <t>ETA - GURJAÚ</t>
  </si>
  <si>
    <t>Barragem Gurjaú</t>
  </si>
  <si>
    <t>CANAL</t>
  </si>
  <si>
    <t>MEDIÇÃO EM CANAL</t>
  </si>
  <si>
    <t>ETA - IPOJUCA</t>
  </si>
  <si>
    <t>Riacho Três Passagens</t>
  </si>
  <si>
    <t>ETA - MANOEL DE SENA</t>
  </si>
  <si>
    <t>EEAB Duas Unas Velha</t>
  </si>
  <si>
    <t>ETA - MARCOS FREIRE</t>
  </si>
  <si>
    <t>Barragem de Nível  Zumbi - Linha 01</t>
  </si>
  <si>
    <t>Barragem de Nível  Zumbi - Linha 02</t>
  </si>
  <si>
    <t>EEAB Água Fria de Cima</t>
  </si>
  <si>
    <t>ETA - Nova/Amaraji</t>
  </si>
  <si>
    <t>Rio União (gravidade)</t>
  </si>
  <si>
    <t>Joaquim Nabuco</t>
  </si>
  <si>
    <t>ETA - Joaquim Nabuco</t>
  </si>
  <si>
    <t>EEAB Brasileirinho</t>
  </si>
  <si>
    <t>ETA - Buraco do Tatu/Bom Jardim</t>
  </si>
  <si>
    <t>Rio Orobó</t>
  </si>
  <si>
    <t>EEAB Pedra Fina</t>
  </si>
  <si>
    <t>ETA - Frexeiras</t>
  </si>
  <si>
    <t>EEAB Contendas</t>
  </si>
  <si>
    <t>Lagoa dos Gatos</t>
  </si>
  <si>
    <t>ETA - LAGOA DOS GATOS</t>
  </si>
  <si>
    <t>EEAB Tapacurá</t>
  </si>
  <si>
    <t>ETA - Paudalho</t>
  </si>
  <si>
    <t>Barragem Orá</t>
  </si>
  <si>
    <t>EEAB Riacho dos Gatos</t>
  </si>
  <si>
    <t>Palmares</t>
  </si>
  <si>
    <t>Serro Azul</t>
  </si>
  <si>
    <t>BARRAGEM SERRO AZUL</t>
  </si>
  <si>
    <t>São Lourenço da Mata</t>
  </si>
  <si>
    <t>ETA - MATRIZ DA LUZ</t>
  </si>
  <si>
    <t>EEAB Queira Deus</t>
  </si>
  <si>
    <t>Primavera</t>
  </si>
  <si>
    <t>ETA - Primavera</t>
  </si>
  <si>
    <t>Riacho Arrodeio (gravidade)</t>
  </si>
  <si>
    <t>Riacho Jussara (gravidade)</t>
  </si>
  <si>
    <t>ETA - MORENO</t>
  </si>
  <si>
    <t>EEAB-Flutuante</t>
  </si>
  <si>
    <t>EEAB-Moreno (Rio Jaboatão)</t>
  </si>
  <si>
    <t>ETA - MURIBEQUINHA</t>
  </si>
  <si>
    <t>EEAB Muribequinha</t>
  </si>
  <si>
    <t>ETA - PIRAPAMA</t>
  </si>
  <si>
    <t>Rio Pirapama</t>
  </si>
  <si>
    <t>EEAB Pirapama</t>
  </si>
  <si>
    <t>ETA - Cucau</t>
  </si>
  <si>
    <t>ETA - Saué</t>
  </si>
  <si>
    <t>ETA - SUAPE</t>
  </si>
  <si>
    <t>Barragem Utinga</t>
  </si>
  <si>
    <t>Sem operação por conta de roubo de cabos de sinal e energização.</t>
  </si>
  <si>
    <t>Ouricuri</t>
  </si>
  <si>
    <t>ETA - OURICURI (VOLUNTÁRIOS DA PÁTRIA)</t>
  </si>
  <si>
    <t>Barragem Gurjão</t>
  </si>
  <si>
    <t>ETA - Correntes</t>
  </si>
  <si>
    <t>EEAB Correntes</t>
  </si>
  <si>
    <t>Usar medição na chegada da da ETA</t>
  </si>
  <si>
    <t>Palmeirina</t>
  </si>
  <si>
    <t>ETA - PALMEIRINA</t>
  </si>
  <si>
    <t>EEAB Palmeirina</t>
  </si>
  <si>
    <t>Barragem Iatecá</t>
  </si>
  <si>
    <t>Garanhuns</t>
  </si>
  <si>
    <t>ETA - Garanhuns</t>
  </si>
  <si>
    <t>Rio Mundaú</t>
  </si>
  <si>
    <t>Barragem Mundaú 01</t>
  </si>
  <si>
    <t>8°56'47.32"S 36°29'28.89"W</t>
  </si>
  <si>
    <t>Barragem Brejão Linha 01</t>
  </si>
  <si>
    <t>Barragem Brejão Linha 02</t>
  </si>
  <si>
    <t>Parnamirim</t>
  </si>
  <si>
    <t>ETA - Parnamirim</t>
  </si>
  <si>
    <t>ETA - São Caetano</t>
  </si>
  <si>
    <t>Barragem Brejo dos Coelhos</t>
  </si>
  <si>
    <t>PN16</t>
  </si>
  <si>
    <t>Gravatá</t>
  </si>
  <si>
    <t>ETA - Gravatá Velha</t>
  </si>
  <si>
    <t>Barragem Brejinho</t>
  </si>
  <si>
    <t>Altinho</t>
  </si>
  <si>
    <t>ETA - ALTINHO</t>
  </si>
  <si>
    <t>Barragem Mondé</t>
  </si>
  <si>
    <t>Barragem Clíper</t>
  </si>
  <si>
    <t>Canhotinho</t>
  </si>
  <si>
    <t>ETA - CANHOTINHO</t>
  </si>
  <si>
    <t>Barragem Garrote</t>
  </si>
  <si>
    <t>ETA - Mateus Viera</t>
  </si>
  <si>
    <t>EEAB Mateus Vieira</t>
  </si>
  <si>
    <t>ETA - ROSAS</t>
  </si>
  <si>
    <t>ETA - ROSAS UF</t>
  </si>
  <si>
    <t>ETA - Rainha Isabel</t>
  </si>
  <si>
    <t>Açude Bálsamo</t>
  </si>
  <si>
    <t>EEAB Pau Ferro</t>
  </si>
  <si>
    <t>Lajedo</t>
  </si>
  <si>
    <t>ETA - SÃO JAQUES (LAJEDO)</t>
  </si>
  <si>
    <t>EEAB São Jacques - L1</t>
  </si>
  <si>
    <t>Quipapá</t>
  </si>
  <si>
    <t>ETA - QUIPAPÁ</t>
  </si>
  <si>
    <t>Areias</t>
  </si>
  <si>
    <t>ETA - Gravatá Nova</t>
  </si>
  <si>
    <t>Camocim de São Félix</t>
  </si>
  <si>
    <t>ETA - Camocim de Sao Felix</t>
  </si>
  <si>
    <t>Cachoeira do Galo</t>
  </si>
  <si>
    <t>São Joaquim do Monte</t>
  </si>
  <si>
    <t>ETA - São Joaquim do Monte</t>
  </si>
  <si>
    <t>Caianinha</t>
  </si>
  <si>
    <t>Chã Grande</t>
  </si>
  <si>
    <t>ETA - Chã Grande</t>
  </si>
  <si>
    <t>Macacos</t>
  </si>
  <si>
    <t>Quixaba</t>
  </si>
  <si>
    <t>ETA - QUIXABA</t>
  </si>
  <si>
    <t>EEAB Bita - Linha 01</t>
  </si>
  <si>
    <t>EEAB Bita - Linha 02</t>
  </si>
  <si>
    <t>Riacho das Almas</t>
  </si>
  <si>
    <t>ETA - Riacho das almas</t>
  </si>
  <si>
    <t>ETA - Estreito do Norte</t>
  </si>
  <si>
    <t>ETA - Vila de Santana</t>
  </si>
  <si>
    <t>Comunaty + Lamarão</t>
  </si>
  <si>
    <t>ETA - NASCENTE</t>
  </si>
  <si>
    <t>Barragem da Barriguda</t>
  </si>
  <si>
    <t>ETA - Lagoa do Barro</t>
  </si>
  <si>
    <t>Barragem Lagoa do Barro</t>
  </si>
  <si>
    <t>ETA - Morais</t>
  </si>
  <si>
    <t>Siriquita</t>
  </si>
  <si>
    <t>ETA - RANCHARIA - ARARIPINA</t>
  </si>
  <si>
    <t>Barragem Brejo do Buraco</t>
  </si>
  <si>
    <t>ETA - Poço Fundo 01</t>
  </si>
  <si>
    <t>Barragem Machados</t>
  </si>
  <si>
    <t>ETA - Ipaneminha</t>
  </si>
  <si>
    <t>Barragem Ipaneminha</t>
  </si>
  <si>
    <t>Sanharó</t>
  </si>
  <si>
    <t>ETA - Sanharó</t>
  </si>
  <si>
    <t>Santa Cruz</t>
  </si>
  <si>
    <t>ETA - SANTA CRUZ</t>
  </si>
  <si>
    <t>Buíque</t>
  </si>
  <si>
    <t>ETA - BUÍQUE</t>
  </si>
  <si>
    <t>Mulungu</t>
  </si>
  <si>
    <t>ETA - Murici - Conceição das Crioulas</t>
  </si>
  <si>
    <t>Rede Velha da EEAB Tabocas</t>
  </si>
  <si>
    <t>EEAB São Jacques - L2</t>
  </si>
  <si>
    <t>Santa Terezinha</t>
  </si>
  <si>
    <t>ETA - SANTA TEREZINHA</t>
  </si>
  <si>
    <t>Cupira</t>
  </si>
  <si>
    <t>ETA - CUPIRA</t>
  </si>
  <si>
    <t>Barragem Amaraji</t>
  </si>
  <si>
    <t>EEAB-01 Amaraji</t>
  </si>
  <si>
    <t>Bonitinho Novo Linha 01 (Bomba Velha)</t>
  </si>
  <si>
    <t>VERIFICAR</t>
  </si>
  <si>
    <t>Dormentes</t>
  </si>
  <si>
    <t>ETA - Monte Orebe</t>
  </si>
  <si>
    <t>ETA - CARQUEJA</t>
  </si>
  <si>
    <t>ETA - BARRA DO RIACHÃO</t>
  </si>
  <si>
    <t>EEAB Pão de Açúcar</t>
  </si>
  <si>
    <t>Rio Ipojuca</t>
  </si>
  <si>
    <t>EEAB Pedro Moura Júnior</t>
  </si>
  <si>
    <t>São José do Egito</t>
  </si>
  <si>
    <t>ETA - SÃO JOSÉ DO EGITO</t>
  </si>
  <si>
    <t>Moreilândia</t>
  </si>
  <si>
    <t>ETA - MOREILANDIA</t>
  </si>
  <si>
    <t>Açude Sítio de Cima</t>
  </si>
  <si>
    <t>ETA - VÁRZEA DO UNA</t>
  </si>
  <si>
    <t>Barragem Várzea do Una</t>
  </si>
  <si>
    <t>Camaragibe</t>
  </si>
  <si>
    <t>ETA - Vera Cruz</t>
  </si>
  <si>
    <t>EEAB Buraco da Velha</t>
  </si>
  <si>
    <t>ETA - SANTA RITA</t>
  </si>
  <si>
    <t>Barragem Vertentes</t>
  </si>
  <si>
    <t>EEAB Vertentes Doce</t>
  </si>
  <si>
    <t>Surubim</t>
  </si>
  <si>
    <t>ETA - Jucazinho</t>
  </si>
  <si>
    <t>Barragem Jucazinho (Chegada da ETA - Tramo NORTE)</t>
  </si>
  <si>
    <t>Como o trecho é curto o medidor é o mesmo da chegada da ETA</t>
  </si>
  <si>
    <t>7°57'55.33"S 35°44'18.18"W</t>
  </si>
  <si>
    <t>Barragem Mundaú 02 (Cajueiro)</t>
  </si>
  <si>
    <t>ETA - Quixaba/Barro</t>
  </si>
  <si>
    <t>ETA - MORRO DO CRIOULO</t>
  </si>
  <si>
    <t>EEAB Maria Tereza</t>
  </si>
  <si>
    <t>Barragem Inhúmas</t>
  </si>
  <si>
    <t>8°59'26.44"S 36°22'56.80"W</t>
  </si>
  <si>
    <t>Salgueiro</t>
  </si>
  <si>
    <t>ETA - Salgueiro</t>
  </si>
  <si>
    <t>EEAB -01 Negreiros-PISF (Sagueiro)</t>
  </si>
  <si>
    <t>Tabira</t>
  </si>
  <si>
    <t>ETA - TABIRA</t>
  </si>
  <si>
    <t>ETA - Umãs</t>
  </si>
  <si>
    <t>EEAB-01 (Adutora do Sertão)</t>
  </si>
  <si>
    <t>ETA - Pau Ferro</t>
  </si>
  <si>
    <t>Amaraji</t>
  </si>
  <si>
    <t>Não está operando, atualmente.</t>
  </si>
  <si>
    <t>Santa Filomena</t>
  </si>
  <si>
    <t>ETA - Santa Filomena</t>
  </si>
  <si>
    <t>Barragem São José II</t>
  </si>
  <si>
    <t>ETA - MÓVEL - RIACHO DO MEIO</t>
  </si>
  <si>
    <t>Serrita</t>
  </si>
  <si>
    <t>ETA - Serrita</t>
  </si>
  <si>
    <t>EEAB -01 Negreiros-PISF (Serrita)</t>
  </si>
  <si>
    <t>Trindade</t>
  </si>
  <si>
    <t>ETA - Trindade</t>
  </si>
  <si>
    <t>ETA - Brigida - São Francisco do Brígida</t>
  </si>
  <si>
    <t>ETA - RIO DA BARRA</t>
  </si>
  <si>
    <t>Tuparetama</t>
  </si>
  <si>
    <t>ETA - TUPARETAMA</t>
  </si>
  <si>
    <t>Solidão</t>
  </si>
  <si>
    <t>ETA - SOLIDÃO</t>
  </si>
  <si>
    <t>Barragem Nossa Senhora de Lourdes</t>
  </si>
  <si>
    <t>ETA - BORBOREMA</t>
  </si>
  <si>
    <t>Barra de São Miguel</t>
  </si>
  <si>
    <t>EEAB Barra de São Miguel PB</t>
  </si>
  <si>
    <t>Apenas o sensor havia sido instalado</t>
  </si>
  <si>
    <t>ETA - Terra Nova</t>
  </si>
  <si>
    <t>Reservatório Serra do Livramento (PISF)</t>
  </si>
  <si>
    <t>Triunfo</t>
  </si>
  <si>
    <t>ETA - TRIUNFO</t>
  </si>
  <si>
    <t>EEAB Aproveitamento</t>
  </si>
  <si>
    <t>ETA - CANAÃ</t>
  </si>
  <si>
    <t>Total</t>
  </si>
  <si>
    <t>50 Maiores Medidos</t>
  </si>
  <si>
    <t>Não Macromedido 50 Maiores</t>
  </si>
  <si>
    <t>Índice de Macrometração:</t>
  </si>
  <si>
    <t>Pontos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</si>
</sst>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(* #,##0_);_(* \(#,##0\);_(* &quot;-&quot;??_);_(@_)"/>
    <numFmt numFmtId="166" formatCode="0.00000000"/>
    <numFmt numFmtId="167" formatCode="&quot;NÃO = &quot;0"/>
    <numFmt numFmtId="168" formatCode="&quot;SIM = &quot;0"/>
    <numFmt numFmtId="169" formatCode="0&quot; (SIM)&quot;"/>
    <numFmt numFmtId="170" formatCode="0&quot; (NÃO)&quot;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ptos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50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right" vertical="center"/>
    </xf>
    <xf numFmtId="165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right" vertical="center" indent="6"/>
    </xf>
    <xf numFmtId="10" fontId="0" fillId="0" borderId="0" xfId="2" applyNumberFormat="1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>
      <alignment vertical="center"/>
    </xf>
    <xf numFmtId="165" fontId="1" fillId="0" borderId="0" xfId="1" applyNumberFormat="1" applyFont="1" applyAlignment="1">
      <alignment horizontal="center" vertical="center"/>
    </xf>
    <xf numFmtId="167" fontId="0" fillId="0" borderId="0" xfId="0" applyNumberFormat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2" fontId="0" fillId="0" borderId="0" xfId="0" applyNumberFormat="1" applyAlignment="1">
      <alignment horizontal="right" vertical="center" indent="7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5" fillId="0" borderId="0" xfId="3" applyNumberFormat="1" applyFont="1" applyAlignment="1">
      <alignment vertical="center"/>
    </xf>
    <xf numFmtId="0" fontId="0" fillId="0" borderId="0" xfId="0" applyBorder="1" applyAlignment="1">
      <alignment vertical="center"/>
    </xf>
    <xf numFmtId="3" fontId="5" fillId="0" borderId="0" xfId="0" applyNumberFormat="1" applyFont="1" applyAlignment="1">
      <alignment horizontal="left" vertical="center"/>
    </xf>
    <xf numFmtId="166" fontId="0" fillId="3" borderId="0" xfId="0" applyNumberFormat="1" applyFill="1" applyAlignment="1">
      <alignment horizontal="right" vertical="center"/>
    </xf>
    <xf numFmtId="165" fontId="0" fillId="0" borderId="0" xfId="1" applyNumberFormat="1" applyFont="1" applyFill="1" applyAlignment="1">
      <alignment horizontal="center" vertical="center"/>
    </xf>
    <xf numFmtId="165" fontId="0" fillId="0" borderId="0" xfId="1" quotePrefix="1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0" fontId="0" fillId="3" borderId="0" xfId="0" applyFill="1" applyAlignment="1">
      <alignment vertical="center"/>
    </xf>
    <xf numFmtId="165" fontId="0" fillId="3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168" fontId="2" fillId="4" borderId="2" xfId="0" applyNumberFormat="1" applyFont="1" applyFill="1" applyBorder="1" applyAlignment="1" applyProtection="1">
      <alignment horizontal="center" vertical="center"/>
      <protection locked="0"/>
    </xf>
    <xf numFmtId="10" fontId="0" fillId="4" borderId="0" xfId="2" applyNumberFormat="1" applyFont="1" applyFill="1" applyAlignment="1">
      <alignment horizontal="center" vertical="center"/>
    </xf>
    <xf numFmtId="10" fontId="2" fillId="4" borderId="0" xfId="2" applyNumberFormat="1" applyFont="1" applyFill="1" applyAlignment="1">
      <alignment horizontal="center" vertical="center"/>
    </xf>
    <xf numFmtId="168" fontId="2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9" fontId="0" fillId="0" borderId="0" xfId="0" applyNumberFormat="1" applyAlignment="1">
      <alignment vertical="center"/>
    </xf>
    <xf numFmtId="165" fontId="8" fillId="0" borderId="0" xfId="1" applyNumberFormat="1" applyFont="1" applyFill="1" applyAlignment="1">
      <alignment horizontal="right" vertical="center"/>
    </xf>
    <xf numFmtId="10" fontId="8" fillId="0" borderId="0" xfId="2" applyNumberFormat="1" applyFont="1" applyFill="1" applyAlignment="1" applyProtection="1">
      <alignment horizontal="center" vertical="center"/>
      <protection locked="0"/>
    </xf>
    <xf numFmtId="10" fontId="8" fillId="0" borderId="0" xfId="2" applyNumberFormat="1" applyFont="1" applyFill="1" applyAlignment="1">
      <alignment horizontal="center" vertical="center"/>
    </xf>
    <xf numFmtId="170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  <protection locked="0"/>
    </xf>
  </cellXfs>
  <cellStyles count="4">
    <cellStyle name="Normal" xfId="0" builtinId="0"/>
    <cellStyle name="Normal 2" xfId="3"/>
    <cellStyle name="Porcentagem" xfId="2" builtinId="5"/>
    <cellStyle name="Vírgula" xfId="1" builtinId="3"/>
  </cellStyles>
  <dxfs count="5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right" vertical="center" textRotation="0" wrapText="0" relativeIndent="1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NÃO = &quot;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00000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0.000000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_de_DADOS_-_Capta&#231;&#245;es_Chegadas_e_Sa&#237;das_de_ETAs_18_11_25%20Resumo%20Cidad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As"/>
      <sheetName val="proximos Passos"/>
      <sheetName val="Por diretoria"/>
      <sheetName val="RESUMO"/>
      <sheetName val="Captações ANA"/>
      <sheetName val="Síntese"/>
      <sheetName val="Tabela Geral"/>
      <sheetName val="Cidade"/>
      <sheetName val="Captações por ETAs"/>
      <sheetName val="Mun"/>
      <sheetName val="50 Por diretoria"/>
      <sheetName val="Compila"/>
      <sheetName val="Resumo km"/>
      <sheetName val="Kms"/>
      <sheetName val="GCO"/>
      <sheetName val="Chegadas em ETAs"/>
      <sheetName val="Resultado IMS"/>
      <sheetName val="Resultado Geral"/>
      <sheetName val="Plan5"/>
      <sheetName val="Cavalete"/>
      <sheetName val="Saídas das ETAs"/>
      <sheetName val="ETA - Etapas do Processo"/>
      <sheetName val="Limites Municipais - 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D1" t="str">
            <v>COORDENAÇÃO</v>
          </cell>
          <cell r="E1" t="str">
            <v>Nova Gerencia</v>
          </cell>
          <cell r="F1" t="str">
            <v>Novo Lote</v>
          </cell>
        </row>
        <row r="2">
          <cell r="D2" t="str">
            <v>CPR MATA NORTE</v>
          </cell>
          <cell r="E2" t="str">
            <v>GPM</v>
          </cell>
          <cell r="F2" t="str">
            <v>Lote 1</v>
          </cell>
        </row>
        <row r="3">
          <cell r="D3" t="str">
            <v>CPR NORTE</v>
          </cell>
          <cell r="E3" t="str">
            <v>GPM</v>
          </cell>
          <cell r="F3" t="str">
            <v>Lote 1</v>
          </cell>
        </row>
        <row r="4">
          <cell r="D4" t="str">
            <v>CPR MATA SUL</v>
          </cell>
          <cell r="E4" t="str">
            <v>GPM</v>
          </cell>
          <cell r="F4" t="str">
            <v>Lote 1</v>
          </cell>
        </row>
        <row r="5">
          <cell r="D5" t="str">
            <v>CPR MATA NORTE</v>
          </cell>
          <cell r="E5" t="str">
            <v>GPM</v>
          </cell>
          <cell r="F5" t="str">
            <v>Lote 1</v>
          </cell>
        </row>
        <row r="6">
          <cell r="D6" t="str">
            <v>CPR SUL</v>
          </cell>
          <cell r="E6" t="str">
            <v>GPM</v>
          </cell>
          <cell r="F6" t="str">
            <v>Lote 1</v>
          </cell>
        </row>
        <row r="7">
          <cell r="D7" t="str">
            <v>CPR OESTE</v>
          </cell>
          <cell r="E7" t="str">
            <v>GPM</v>
          </cell>
          <cell r="F7" t="str">
            <v>Lote 1</v>
          </cell>
        </row>
        <row r="8">
          <cell r="D8" t="str">
            <v>CPR MATA NORTE</v>
          </cell>
          <cell r="E8" t="str">
            <v>GPM</v>
          </cell>
          <cell r="F8" t="str">
            <v>Lote 1</v>
          </cell>
        </row>
        <row r="9">
          <cell r="D9" t="str">
            <v>CPR MATA NORTE</v>
          </cell>
          <cell r="E9" t="str">
            <v>GPM</v>
          </cell>
          <cell r="F9" t="str">
            <v>Lote 1</v>
          </cell>
        </row>
        <row r="10">
          <cell r="D10" t="str">
            <v>CPR MATA SUL</v>
          </cell>
          <cell r="E10" t="str">
            <v>GPM</v>
          </cell>
          <cell r="F10" t="str">
            <v>Lote 1</v>
          </cell>
        </row>
        <row r="11">
          <cell r="D11" t="str">
            <v>CPR MATA NORTE</v>
          </cell>
          <cell r="E11" t="str">
            <v>GPM</v>
          </cell>
          <cell r="F11" t="str">
            <v>Lote 1</v>
          </cell>
        </row>
        <row r="12">
          <cell r="D12" t="str">
            <v>CRE NORONHA</v>
          </cell>
          <cell r="E12" t="str">
            <v>GPM</v>
          </cell>
          <cell r="F12" t="str">
            <v>Lote 1</v>
          </cell>
        </row>
        <row r="13">
          <cell r="D13" t="str">
            <v>CPR MATA NORTE</v>
          </cell>
          <cell r="E13" t="str">
            <v>GPM</v>
          </cell>
          <cell r="F13" t="str">
            <v>Lote 1</v>
          </cell>
        </row>
        <row r="14">
          <cell r="D14" t="str">
            <v>CPR MATA NORTE</v>
          </cell>
          <cell r="E14" t="str">
            <v>GPM</v>
          </cell>
          <cell r="F14" t="str">
            <v>Lote 1</v>
          </cell>
        </row>
        <row r="15">
          <cell r="D15" t="str">
            <v>CPR NORTE</v>
          </cell>
          <cell r="E15" t="str">
            <v>GPM</v>
          </cell>
          <cell r="F15" t="str">
            <v>Lote 1</v>
          </cell>
        </row>
        <row r="16">
          <cell r="D16" t="str">
            <v>CPR NORTE</v>
          </cell>
          <cell r="E16" t="str">
            <v>GPM</v>
          </cell>
          <cell r="F16" t="str">
            <v>Lote 1</v>
          </cell>
        </row>
        <row r="17">
          <cell r="D17" t="str">
            <v>CPR SUL</v>
          </cell>
          <cell r="E17" t="str">
            <v>GPM</v>
          </cell>
          <cell r="F17" t="str">
            <v>Lote 1</v>
          </cell>
        </row>
        <row r="18">
          <cell r="D18" t="str">
            <v>CPR MATA NORTE</v>
          </cell>
          <cell r="E18" t="str">
            <v>GPM</v>
          </cell>
          <cell r="F18" t="str">
            <v>Lote 1</v>
          </cell>
        </row>
        <row r="19">
          <cell r="D19" t="str">
            <v>CPR OESTE</v>
          </cell>
          <cell r="E19" t="str">
            <v>GPM</v>
          </cell>
          <cell r="F19" t="str">
            <v>Lote 1</v>
          </cell>
        </row>
        <row r="20">
          <cell r="D20" t="str">
            <v>CPR SUL</v>
          </cell>
          <cell r="E20" t="str">
            <v>GPM</v>
          </cell>
          <cell r="F20" t="str">
            <v>Lote 1</v>
          </cell>
        </row>
        <row r="21">
          <cell r="D21" t="str">
            <v>CPR MATA NORTE</v>
          </cell>
          <cell r="E21" t="str">
            <v>GPM</v>
          </cell>
          <cell r="F21" t="str">
            <v>Lote 1</v>
          </cell>
        </row>
        <row r="22">
          <cell r="D22" t="str">
            <v>CPR MATA SUL</v>
          </cell>
          <cell r="E22" t="str">
            <v>GPM</v>
          </cell>
          <cell r="F22" t="str">
            <v>Lote 1</v>
          </cell>
        </row>
        <row r="23">
          <cell r="D23" t="str">
            <v>CPR MATA NORTE</v>
          </cell>
          <cell r="E23" t="str">
            <v>GPM</v>
          </cell>
          <cell r="F23" t="str">
            <v>Lote 1</v>
          </cell>
        </row>
        <row r="24">
          <cell r="D24" t="str">
            <v>CPR MATA NORTE</v>
          </cell>
          <cell r="E24" t="str">
            <v>GPM</v>
          </cell>
          <cell r="F24" t="str">
            <v>Lote 1</v>
          </cell>
        </row>
        <row r="25">
          <cell r="D25" t="str">
            <v>CPR MATA NORTE</v>
          </cell>
          <cell r="E25" t="str">
            <v>GPM</v>
          </cell>
          <cell r="F25" t="str">
            <v>Lote 1</v>
          </cell>
        </row>
        <row r="26">
          <cell r="D26" t="str">
            <v>CPR MATA NORTE</v>
          </cell>
          <cell r="E26" t="str">
            <v>GPM</v>
          </cell>
          <cell r="F26" t="str">
            <v>Lote 1</v>
          </cell>
        </row>
        <row r="27">
          <cell r="D27" t="str">
            <v>CPR MATA NORTE</v>
          </cell>
          <cell r="E27" t="str">
            <v>GPM</v>
          </cell>
          <cell r="F27" t="str">
            <v>Lote 1</v>
          </cell>
        </row>
        <row r="28">
          <cell r="D28" t="str">
            <v>CPR OESTE</v>
          </cell>
          <cell r="E28" t="str">
            <v>GPM</v>
          </cell>
          <cell r="F28" t="str">
            <v>Lote 1</v>
          </cell>
        </row>
        <row r="29">
          <cell r="D29" t="str">
            <v>CPR MATA NORTE</v>
          </cell>
          <cell r="E29" t="str">
            <v>GPM</v>
          </cell>
          <cell r="F29" t="str">
            <v>Lote 1</v>
          </cell>
        </row>
        <row r="30">
          <cell r="D30" t="str">
            <v>CPR NORTE</v>
          </cell>
          <cell r="E30" t="str">
            <v>GPM</v>
          </cell>
          <cell r="F30" t="str">
            <v>Lote 1</v>
          </cell>
        </row>
        <row r="31">
          <cell r="D31" t="str">
            <v>CPR MATA SUL</v>
          </cell>
          <cell r="E31" t="str">
            <v>GPM</v>
          </cell>
          <cell r="F31" t="str">
            <v>Lote 1</v>
          </cell>
        </row>
        <row r="32">
          <cell r="D32" t="str">
            <v>CPR MATA NORTE</v>
          </cell>
          <cell r="E32" t="str">
            <v>GPM</v>
          </cell>
          <cell r="F32" t="str">
            <v>Lote 1</v>
          </cell>
        </row>
        <row r="33">
          <cell r="D33" t="str">
            <v>CPR MATA SUL</v>
          </cell>
          <cell r="E33" t="str">
            <v>GPM</v>
          </cell>
          <cell r="F33" t="str">
            <v>Lote 1</v>
          </cell>
        </row>
        <row r="34">
          <cell r="D34" t="str">
            <v>CPR MATA SUL</v>
          </cell>
          <cell r="E34" t="str">
            <v>GPM</v>
          </cell>
          <cell r="F34" t="str">
            <v>Lote 1</v>
          </cell>
        </row>
        <row r="35">
          <cell r="D35" t="str">
            <v>CPR NORTE</v>
          </cell>
          <cell r="E35" t="str">
            <v>GPM</v>
          </cell>
          <cell r="F35" t="str">
            <v>Lote 1</v>
          </cell>
        </row>
        <row r="36">
          <cell r="D36" t="str">
            <v>CPR MATA SUL</v>
          </cell>
          <cell r="E36" t="str">
            <v>GPM</v>
          </cell>
          <cell r="F36" t="str">
            <v>Lote 1</v>
          </cell>
        </row>
        <row r="37">
          <cell r="D37" t="str">
            <v>CPR MATA SUL</v>
          </cell>
          <cell r="E37" t="str">
            <v>GPM</v>
          </cell>
          <cell r="F37" t="str">
            <v>Lote 1</v>
          </cell>
        </row>
        <row r="38">
          <cell r="D38" t="str">
            <v>CPR MATA SUL</v>
          </cell>
          <cell r="E38" t="str">
            <v>GPM</v>
          </cell>
          <cell r="F38" t="str">
            <v>Lote 1</v>
          </cell>
        </row>
        <row r="39">
          <cell r="D39" t="str">
            <v>CPR OESTE</v>
          </cell>
          <cell r="E39" t="str">
            <v>GPM</v>
          </cell>
          <cell r="F39" t="str">
            <v>Lote 1</v>
          </cell>
        </row>
        <row r="40">
          <cell r="D40" t="str">
            <v>CPR MATA NORTE</v>
          </cell>
          <cell r="E40" t="str">
            <v>GPM</v>
          </cell>
          <cell r="F40" t="str">
            <v>Lote 1</v>
          </cell>
        </row>
        <row r="41">
          <cell r="D41" t="str">
            <v>CPR MATA SUL</v>
          </cell>
          <cell r="E41" t="str">
            <v>GPM</v>
          </cell>
          <cell r="F41" t="str">
            <v>Lote 1</v>
          </cell>
        </row>
        <row r="42">
          <cell r="D42" t="str">
            <v>CPR MATA SUL</v>
          </cell>
          <cell r="E42" t="str">
            <v>GPM</v>
          </cell>
          <cell r="F42" t="str">
            <v>Lote 1</v>
          </cell>
        </row>
        <row r="43">
          <cell r="D43" t="str">
            <v>CPR MATA NORTE</v>
          </cell>
          <cell r="E43" t="str">
            <v>GPM</v>
          </cell>
          <cell r="F43" t="str">
            <v>Lote 1</v>
          </cell>
        </row>
        <row r="44">
          <cell r="D44" t="str">
            <v>CPR MATA NORTE</v>
          </cell>
          <cell r="E44" t="str">
            <v>GPM</v>
          </cell>
          <cell r="F44" t="str">
            <v>Lote 1</v>
          </cell>
        </row>
        <row r="45">
          <cell r="D45" t="str">
            <v>CPR MATA SUL</v>
          </cell>
          <cell r="E45" t="str">
            <v>GPM</v>
          </cell>
          <cell r="F45" t="str">
            <v>Lote 1</v>
          </cell>
        </row>
        <row r="46">
          <cell r="D46" t="str">
            <v>CPR Norte</v>
          </cell>
          <cell r="E46" t="str">
            <v>GPM</v>
          </cell>
          <cell r="F46" t="str">
            <v>Lote 1</v>
          </cell>
        </row>
        <row r="47">
          <cell r="D47" t="str">
            <v>CPR AGRESTE CENTRAL</v>
          </cell>
          <cell r="E47" t="str">
            <v>GPR Agreste</v>
          </cell>
          <cell r="F47" t="str">
            <v>Lote 2</v>
          </cell>
        </row>
        <row r="48">
          <cell r="D48" t="str">
            <v>CPR AGRESTE CENTRAL</v>
          </cell>
          <cell r="E48" t="str">
            <v>GPR Agreste</v>
          </cell>
          <cell r="F48" t="str">
            <v>Lote 2</v>
          </cell>
        </row>
        <row r="49">
          <cell r="D49" t="str">
            <v>CPR RUSSAS</v>
          </cell>
          <cell r="E49" t="str">
            <v>GPR Agreste</v>
          </cell>
          <cell r="F49" t="str">
            <v>Lote 2</v>
          </cell>
        </row>
        <row r="50">
          <cell r="D50" t="str">
            <v>CPR ALTO CAPIBARIBE</v>
          </cell>
          <cell r="E50" t="str">
            <v>GPR Agreste</v>
          </cell>
          <cell r="F50" t="str">
            <v>Lote 2</v>
          </cell>
        </row>
        <row r="51">
          <cell r="D51" t="str">
            <v>CPR RUSSAS</v>
          </cell>
          <cell r="E51" t="str">
            <v>GPR Agreste</v>
          </cell>
          <cell r="F51" t="str">
            <v>Lote 2</v>
          </cell>
        </row>
        <row r="52">
          <cell r="D52" t="str">
            <v>CPR IPOJUCA</v>
          </cell>
          <cell r="E52" t="str">
            <v>GPR Agreste</v>
          </cell>
          <cell r="F52" t="str">
            <v>Lote 2</v>
          </cell>
        </row>
        <row r="53">
          <cell r="D53" t="str">
            <v>CPR RUSSAS</v>
          </cell>
          <cell r="E53" t="str">
            <v>GPR Agreste</v>
          </cell>
          <cell r="F53" t="str">
            <v>Lote 2</v>
          </cell>
        </row>
        <row r="54">
          <cell r="D54" t="str">
            <v>CPR AGRESTE MERIDIONAL</v>
          </cell>
          <cell r="E54" t="str">
            <v>GPR Agreste</v>
          </cell>
          <cell r="F54" t="str">
            <v>Lote 2</v>
          </cell>
        </row>
        <row r="55">
          <cell r="D55" t="str">
            <v>CPR RUSSAS</v>
          </cell>
          <cell r="E55" t="str">
            <v>GPR Agreste</v>
          </cell>
          <cell r="F55" t="str">
            <v>Lote 2</v>
          </cell>
        </row>
        <row r="56">
          <cell r="D56" t="str">
            <v>CPR AGRESTE MERIDIONAL</v>
          </cell>
          <cell r="E56" t="str">
            <v>GPR Agreste</v>
          </cell>
          <cell r="F56" t="str">
            <v>Lote 2</v>
          </cell>
        </row>
        <row r="57">
          <cell r="D57" t="str">
            <v>CPR ALTO CAPIBARIBE</v>
          </cell>
          <cell r="E57" t="str">
            <v>GPR Agreste</v>
          </cell>
          <cell r="F57" t="str">
            <v>Lote 2</v>
          </cell>
        </row>
        <row r="58">
          <cell r="D58" t="str">
            <v>CPR RUSSAS</v>
          </cell>
          <cell r="E58" t="str">
            <v>GPR Agreste</v>
          </cell>
          <cell r="F58" t="str">
            <v>Lote 2</v>
          </cell>
        </row>
        <row r="59">
          <cell r="D59" t="str">
            <v>CPR IPOJUCA</v>
          </cell>
          <cell r="E59" t="str">
            <v>GPR Agreste</v>
          </cell>
          <cell r="F59" t="str">
            <v>Lote 2</v>
          </cell>
        </row>
        <row r="60">
          <cell r="D60" t="str">
            <v>CPR AGRESTE MERIDIONAL</v>
          </cell>
          <cell r="E60" t="str">
            <v>GPR Agreste</v>
          </cell>
          <cell r="F60" t="str">
            <v>Lote 2</v>
          </cell>
        </row>
        <row r="61">
          <cell r="D61" t="str">
            <v>CPR AGRESTE CENTRAL</v>
          </cell>
          <cell r="E61" t="str">
            <v>GPR Agreste</v>
          </cell>
          <cell r="F61" t="str">
            <v>Lote 2</v>
          </cell>
        </row>
        <row r="62">
          <cell r="D62" t="str">
            <v>CPR RUSSAS</v>
          </cell>
          <cell r="E62" t="str">
            <v>GPR Agreste</v>
          </cell>
          <cell r="F62" t="str">
            <v>Lote 2</v>
          </cell>
        </row>
        <row r="63">
          <cell r="D63" t="str">
            <v>CPR AGRESTE MERIDIONAL</v>
          </cell>
          <cell r="E63" t="str">
            <v>GPR Agreste</v>
          </cell>
          <cell r="F63" t="str">
            <v>Lote 2</v>
          </cell>
        </row>
        <row r="64">
          <cell r="D64" t="str">
            <v>CPR ALTO CAPIBARIBE</v>
          </cell>
          <cell r="E64" t="str">
            <v>GPR Agreste</v>
          </cell>
          <cell r="F64" t="str">
            <v>Lote 2</v>
          </cell>
        </row>
        <row r="65">
          <cell r="D65" t="str">
            <v>CPR RUSSAS</v>
          </cell>
          <cell r="E65" t="str">
            <v>GPR Agreste</v>
          </cell>
          <cell r="F65" t="str">
            <v>Lote 2</v>
          </cell>
        </row>
        <row r="66">
          <cell r="D66" t="str">
            <v>CPR AGRESTE MERIDIONAL</v>
          </cell>
          <cell r="E66" t="str">
            <v>GPR Agreste</v>
          </cell>
          <cell r="F66" t="str">
            <v>Lote 2</v>
          </cell>
        </row>
        <row r="67">
          <cell r="D67" t="str">
            <v>CPR RUSSAS</v>
          </cell>
          <cell r="E67" t="str">
            <v>GPR Agreste</v>
          </cell>
          <cell r="F67" t="str">
            <v>Lote 2</v>
          </cell>
        </row>
        <row r="68">
          <cell r="D68" t="str">
            <v>CPR AGRESTE MERIDIONAL</v>
          </cell>
          <cell r="E68" t="str">
            <v>GPR Agreste</v>
          </cell>
          <cell r="F68" t="str">
            <v>Lote 2</v>
          </cell>
        </row>
        <row r="69">
          <cell r="D69" t="str">
            <v>CPR IPOJUCA</v>
          </cell>
          <cell r="E69" t="str">
            <v>GPR Agreste</v>
          </cell>
          <cell r="F69" t="str">
            <v>Lote 2</v>
          </cell>
        </row>
        <row r="70">
          <cell r="D70" t="str">
            <v>CPR AGRESTE MERIDIONAL</v>
          </cell>
          <cell r="E70" t="str">
            <v>GPR Agreste</v>
          </cell>
          <cell r="F70" t="str">
            <v>Lote 2</v>
          </cell>
        </row>
        <row r="71">
          <cell r="D71" t="str">
            <v>CPR RUSSAS</v>
          </cell>
          <cell r="E71" t="str">
            <v>GPR Agreste</v>
          </cell>
          <cell r="F71" t="str">
            <v>Lote 2</v>
          </cell>
        </row>
        <row r="72">
          <cell r="D72" t="str">
            <v>CPR IPOJUCA</v>
          </cell>
          <cell r="E72" t="str">
            <v>GPR Agreste</v>
          </cell>
          <cell r="F72" t="str">
            <v>Lote 2</v>
          </cell>
        </row>
        <row r="73">
          <cell r="D73" t="str">
            <v>CPR RUSSAS</v>
          </cell>
          <cell r="E73" t="str">
            <v>GPR Agreste</v>
          </cell>
          <cell r="F73" t="str">
            <v>Lote 2</v>
          </cell>
        </row>
        <row r="74">
          <cell r="D74" t="str">
            <v>CPR AGRESTE MERIDIONAL</v>
          </cell>
          <cell r="E74" t="str">
            <v>GPR Agreste</v>
          </cell>
          <cell r="F74" t="str">
            <v>Lote 2</v>
          </cell>
        </row>
        <row r="75">
          <cell r="D75" t="str">
            <v>CPR RUSSAS</v>
          </cell>
          <cell r="E75" t="str">
            <v>GPR Agreste</v>
          </cell>
          <cell r="F75" t="str">
            <v>Lote 2</v>
          </cell>
        </row>
        <row r="76">
          <cell r="D76" t="str">
            <v>CPR AGRESTE MERIDIONAL</v>
          </cell>
          <cell r="E76" t="str">
            <v>GPR Agreste</v>
          </cell>
          <cell r="F76" t="str">
            <v>Lote 2</v>
          </cell>
        </row>
        <row r="77">
          <cell r="D77" t="str">
            <v>CPR IPOJUCA</v>
          </cell>
          <cell r="E77" t="str">
            <v>GPR Agreste</v>
          </cell>
          <cell r="F77" t="str">
            <v>Lote 2</v>
          </cell>
        </row>
        <row r="78">
          <cell r="D78" t="str">
            <v>CPR IPOJUCA</v>
          </cell>
          <cell r="E78" t="str">
            <v>GPR Agreste</v>
          </cell>
          <cell r="F78" t="str">
            <v>Lote 2</v>
          </cell>
        </row>
        <row r="79">
          <cell r="D79" t="str">
            <v>CPR RUSSAS</v>
          </cell>
          <cell r="E79" t="str">
            <v>GPR Agreste</v>
          </cell>
          <cell r="F79" t="str">
            <v>Lote 2</v>
          </cell>
        </row>
        <row r="80">
          <cell r="D80" t="str">
            <v>CPR AGRESTE CENTRAL</v>
          </cell>
          <cell r="E80" t="str">
            <v>GPR Agreste</v>
          </cell>
          <cell r="F80" t="str">
            <v>Lote 2</v>
          </cell>
        </row>
        <row r="81">
          <cell r="D81" t="str">
            <v>CPR RUSSAS</v>
          </cell>
          <cell r="E81" t="str">
            <v>GPR Agreste</v>
          </cell>
          <cell r="F81" t="str">
            <v>Lote 2</v>
          </cell>
        </row>
        <row r="82">
          <cell r="D82" t="str">
            <v>CPR AGRESTE MERIDIONAL</v>
          </cell>
          <cell r="E82" t="str">
            <v>GPR Agreste</v>
          </cell>
          <cell r="F82" t="str">
            <v>Lote 2</v>
          </cell>
        </row>
        <row r="83">
          <cell r="D83" t="str">
            <v>CPR IPOJUCA</v>
          </cell>
          <cell r="E83" t="str">
            <v>GPR Agreste</v>
          </cell>
          <cell r="F83" t="str">
            <v>Lote 2</v>
          </cell>
        </row>
        <row r="84">
          <cell r="D84" t="str">
            <v>CPR ALTO CAPIBARIBE</v>
          </cell>
          <cell r="E84" t="str">
            <v>GPR Agreste</v>
          </cell>
          <cell r="F84" t="str">
            <v>Lote 2</v>
          </cell>
        </row>
        <row r="85">
          <cell r="D85" t="str">
            <v>CPR RUSSAS</v>
          </cell>
          <cell r="E85" t="str">
            <v>GPR Agreste</v>
          </cell>
          <cell r="F85" t="str">
            <v>Lote 2</v>
          </cell>
        </row>
        <row r="86">
          <cell r="D86" t="str">
            <v>CPR AGRESTE CENTRAL</v>
          </cell>
          <cell r="E86" t="str">
            <v>GPR Agreste</v>
          </cell>
          <cell r="F86" t="str">
            <v>Lote 2</v>
          </cell>
        </row>
        <row r="87">
          <cell r="D87" t="str">
            <v>CPR RUSSAS</v>
          </cell>
          <cell r="E87" t="str">
            <v>GPR Agreste</v>
          </cell>
          <cell r="F87" t="str">
            <v>Lote 2</v>
          </cell>
        </row>
        <row r="88">
          <cell r="D88" t="str">
            <v>CPR AGRESTE CENTRAL</v>
          </cell>
          <cell r="E88" t="str">
            <v>GPR Agreste</v>
          </cell>
          <cell r="F88" t="str">
            <v>Lote 2</v>
          </cell>
        </row>
        <row r="89">
          <cell r="D89" t="str">
            <v>CPR ALTO CAPIBARIBE</v>
          </cell>
          <cell r="E89" t="str">
            <v>GPR Agreste</v>
          </cell>
          <cell r="F89" t="str">
            <v>Lote 2</v>
          </cell>
        </row>
        <row r="90">
          <cell r="D90" t="str">
            <v>CPR ALTO CAPIBARIBE</v>
          </cell>
          <cell r="E90" t="str">
            <v>GPR Agreste</v>
          </cell>
          <cell r="F90" t="str">
            <v>Lote 2</v>
          </cell>
        </row>
        <row r="91">
          <cell r="D91" t="str">
            <v>CPR AGRESTE MERIDIONAL</v>
          </cell>
          <cell r="E91" t="str">
            <v>GPR Agreste</v>
          </cell>
          <cell r="F91" t="str">
            <v>Lote 2</v>
          </cell>
        </row>
        <row r="92">
          <cell r="D92" t="str">
            <v>CPR ALTO CAPIBARIBE</v>
          </cell>
          <cell r="E92" t="str">
            <v>GPR Agreste</v>
          </cell>
          <cell r="F92" t="str">
            <v>Lote 2</v>
          </cell>
        </row>
        <row r="93">
          <cell r="D93" t="str">
            <v>CPR ALTO PAJEU</v>
          </cell>
          <cell r="E93" t="str">
            <v>GPR SERTAO</v>
          </cell>
          <cell r="F93" t="str">
            <v>Lote 3</v>
          </cell>
        </row>
        <row r="94">
          <cell r="D94" t="str">
            <v>CPR MOXOTO</v>
          </cell>
          <cell r="E94" t="str">
            <v>GPR SERTAO</v>
          </cell>
          <cell r="F94" t="str">
            <v>Lote 3</v>
          </cell>
        </row>
        <row r="95">
          <cell r="D95" t="str">
            <v>CPR ARARIPE</v>
          </cell>
          <cell r="E95" t="str">
            <v>GPR SERTAO</v>
          </cell>
          <cell r="F95" t="str">
            <v>Lote 3</v>
          </cell>
        </row>
        <row r="96">
          <cell r="D96" t="str">
            <v>CPR MOXOTO</v>
          </cell>
          <cell r="E96" t="str">
            <v>GPR SERTAO</v>
          </cell>
          <cell r="F96" t="str">
            <v>Lote 3</v>
          </cell>
        </row>
        <row r="97">
          <cell r="D97" t="str">
            <v>CPR SERTAO CENTRAL</v>
          </cell>
          <cell r="E97" t="str">
            <v>GPR SERTAO</v>
          </cell>
          <cell r="F97" t="str">
            <v>Lote 3</v>
          </cell>
        </row>
        <row r="98">
          <cell r="D98" t="str">
            <v>CPR ARARIPE</v>
          </cell>
          <cell r="E98" t="str">
            <v>GPR SERTAO</v>
          </cell>
          <cell r="F98" t="str">
            <v>Lote 3</v>
          </cell>
        </row>
        <row r="99">
          <cell r="D99" t="str">
            <v>CPR ALTO PAJEU</v>
          </cell>
          <cell r="E99" t="str">
            <v>GPR SERTAO</v>
          </cell>
          <cell r="F99" t="str">
            <v>Lote 3</v>
          </cell>
        </row>
        <row r="100">
          <cell r="D100" t="str">
            <v>CPR MOXOTO</v>
          </cell>
          <cell r="E100" t="str">
            <v>GPR SERTAO</v>
          </cell>
          <cell r="F100" t="str">
            <v>Lote 3</v>
          </cell>
        </row>
        <row r="101">
          <cell r="D101" t="str">
            <v>CPR SERTAO CENTRAL</v>
          </cell>
          <cell r="E101" t="str">
            <v>GPR SERTAO</v>
          </cell>
          <cell r="F101" t="str">
            <v>Lote 3</v>
          </cell>
        </row>
        <row r="102">
          <cell r="D102" t="str">
            <v>CPR PAJEU</v>
          </cell>
          <cell r="E102" t="str">
            <v>GPR SERTAO</v>
          </cell>
          <cell r="F102" t="str">
            <v>Lote 3</v>
          </cell>
        </row>
        <row r="103">
          <cell r="D103" t="str">
            <v>CPR ALTO PAJEU</v>
          </cell>
          <cell r="E103" t="str">
            <v>GPR SERTAO</v>
          </cell>
          <cell r="F103" t="str">
            <v>Lote 3</v>
          </cell>
        </row>
        <row r="104">
          <cell r="D104" t="str">
            <v>CPR MOXOTO</v>
          </cell>
          <cell r="E104" t="str">
            <v>GPR SERTAO</v>
          </cell>
          <cell r="F104" t="str">
            <v>Lote 3</v>
          </cell>
        </row>
        <row r="105">
          <cell r="D105" t="str">
            <v>CPR SAO FRANCISCO</v>
          </cell>
          <cell r="E105" t="str">
            <v>GPR SERTAO</v>
          </cell>
          <cell r="F105" t="str">
            <v>Lote 3</v>
          </cell>
        </row>
        <row r="106">
          <cell r="D106" t="str">
            <v>CPR ALTO PAJEU</v>
          </cell>
          <cell r="E106" t="str">
            <v>GPR SERTAO</v>
          </cell>
          <cell r="F106" t="str">
            <v>Lote 3</v>
          </cell>
        </row>
        <row r="107">
          <cell r="D107" t="str">
            <v>CPR PAJEU</v>
          </cell>
          <cell r="E107" t="str">
            <v>GPR SERTAO</v>
          </cell>
          <cell r="F107" t="str">
            <v>Lote 3</v>
          </cell>
        </row>
        <row r="108">
          <cell r="D108" t="str">
            <v>CPR ALTO PAJEU</v>
          </cell>
          <cell r="E108" t="str">
            <v>GPR SERTAO</v>
          </cell>
          <cell r="F108" t="str">
            <v>Lote 3</v>
          </cell>
        </row>
        <row r="109">
          <cell r="D109" t="str">
            <v>CPR ALTO PAJEU</v>
          </cell>
          <cell r="E109" t="str">
            <v>GPR SERTAO</v>
          </cell>
          <cell r="F109" t="str">
            <v>Lote 3</v>
          </cell>
        </row>
        <row r="110">
          <cell r="D110" t="str">
            <v>CPR ARARIPE</v>
          </cell>
          <cell r="E110" t="str">
            <v>GPR SERTAO</v>
          </cell>
          <cell r="F110" t="str">
            <v>Lote 3</v>
          </cell>
        </row>
        <row r="111">
          <cell r="D111" t="str">
            <v>CPR PAJEU</v>
          </cell>
          <cell r="E111" t="str">
            <v>GPR SERTAO</v>
          </cell>
          <cell r="F111" t="str">
            <v>Lote 3</v>
          </cell>
        </row>
        <row r="112">
          <cell r="D112" t="str">
            <v>CPR ALTO PAJEU</v>
          </cell>
          <cell r="E112" t="str">
            <v>GPR SERTAO</v>
          </cell>
          <cell r="F112" t="str">
            <v>Lote 3</v>
          </cell>
        </row>
        <row r="113">
          <cell r="D113" t="str">
            <v>CPR PAJEU</v>
          </cell>
          <cell r="E113" t="str">
            <v>GPR SERTAO</v>
          </cell>
          <cell r="F113" t="str">
            <v>Lote 3</v>
          </cell>
        </row>
        <row r="114">
          <cell r="D114" t="str">
            <v>CPR SAO FRANCISCO</v>
          </cell>
          <cell r="E114" t="str">
            <v>GPR SERTAO</v>
          </cell>
          <cell r="F114" t="str">
            <v>Lote 3</v>
          </cell>
        </row>
        <row r="115">
          <cell r="D115" t="str">
            <v>CPR ARARIPE</v>
          </cell>
          <cell r="E115" t="str">
            <v>GPR SERTAO</v>
          </cell>
          <cell r="F115" t="str">
            <v>Lote 3</v>
          </cell>
        </row>
        <row r="116">
          <cell r="D116" t="str">
            <v>CPR SERTAO CENTRAL</v>
          </cell>
          <cell r="E116" t="str">
            <v>GPR SERTAO</v>
          </cell>
          <cell r="F116" t="str">
            <v>Lote 3</v>
          </cell>
        </row>
        <row r="117">
          <cell r="D117" t="str">
            <v>CPR ARARIPE</v>
          </cell>
          <cell r="E117" t="str">
            <v>GPR SERTAO</v>
          </cell>
          <cell r="F117" t="str">
            <v>Lote 3</v>
          </cell>
        </row>
        <row r="118">
          <cell r="D118" t="str">
            <v>CPR SERTAO CENTRAL</v>
          </cell>
          <cell r="E118" t="str">
            <v>GPR SERTAO</v>
          </cell>
          <cell r="F118" t="str">
            <v>Lote 3</v>
          </cell>
        </row>
        <row r="119">
          <cell r="D119" t="str">
            <v>CPR PAJEU</v>
          </cell>
          <cell r="E119" t="str">
            <v>GPR SERTAO</v>
          </cell>
          <cell r="F119" t="str">
            <v>Lote 3</v>
          </cell>
        </row>
        <row r="120">
          <cell r="D120" t="str">
            <v>CPR SAO FRANCISCO</v>
          </cell>
          <cell r="E120" t="str">
            <v>GPR SERTAO</v>
          </cell>
          <cell r="F120" t="str">
            <v>Lote 3</v>
          </cell>
        </row>
        <row r="121">
          <cell r="D121" t="str">
            <v>CPR ALTO PAJEU</v>
          </cell>
          <cell r="E121" t="str">
            <v>GPR SERTAO</v>
          </cell>
          <cell r="F121" t="str">
            <v>Lote 3</v>
          </cell>
        </row>
        <row r="122">
          <cell r="D122" t="str">
            <v>CPR SERTAO CENTRAL</v>
          </cell>
          <cell r="E122" t="str">
            <v>GPR SERTAO</v>
          </cell>
          <cell r="F122" t="str">
            <v>Lote 3</v>
          </cell>
        </row>
        <row r="123">
          <cell r="D123" t="str">
            <v>CPR ARARIPE</v>
          </cell>
          <cell r="E123" t="str">
            <v>GPR SERTAO</v>
          </cell>
          <cell r="F123" t="str">
            <v>Lote 3</v>
          </cell>
        </row>
        <row r="124">
          <cell r="D124" t="str">
            <v>CPR ARARIPE</v>
          </cell>
          <cell r="E124" t="str">
            <v>GPR SERTAO</v>
          </cell>
          <cell r="F124" t="str">
            <v>Lote 3</v>
          </cell>
        </row>
        <row r="125">
          <cell r="D125" t="str">
            <v>CPR SERTAO CENTRAL</v>
          </cell>
          <cell r="E125" t="str">
            <v>GPR SERTAO</v>
          </cell>
          <cell r="F125" t="str">
            <v>Lote 3</v>
          </cell>
        </row>
        <row r="126">
          <cell r="D126" t="str">
            <v>CPR ALTO PAJEU</v>
          </cell>
          <cell r="E126" t="str">
            <v>GPR SERTAO</v>
          </cell>
          <cell r="F126" t="str">
            <v>Lote 3</v>
          </cell>
        </row>
        <row r="127">
          <cell r="D127" t="str">
            <v>CPR ALTO PAJEU</v>
          </cell>
          <cell r="E127" t="str">
            <v>GPR SERTAO</v>
          </cell>
          <cell r="F127" t="str">
            <v>Lote 3</v>
          </cell>
        </row>
        <row r="128">
          <cell r="D128" t="str">
            <v>CPR PAJEU</v>
          </cell>
          <cell r="E128" t="str">
            <v>GPR SERTAO</v>
          </cell>
          <cell r="F128" t="str">
            <v>Lote 3</v>
          </cell>
        </row>
        <row r="129">
          <cell r="D129" t="str">
            <v>CPR SERTAO CENTRAL</v>
          </cell>
          <cell r="E129" t="str">
            <v>GPR SERTAO</v>
          </cell>
          <cell r="F129" t="str">
            <v>Lote 3</v>
          </cell>
        </row>
        <row r="130">
          <cell r="D130" t="str">
            <v>CPR MOXOTO</v>
          </cell>
          <cell r="E130" t="str">
            <v>GPR SERTAO</v>
          </cell>
          <cell r="F130" t="str">
            <v>Lote 3</v>
          </cell>
        </row>
        <row r="131">
          <cell r="D131" t="str">
            <v>CPR ALTO PAJEU</v>
          </cell>
          <cell r="E131" t="str">
            <v>GPR SERTAO</v>
          </cell>
          <cell r="F131" t="str">
            <v>Lote 3</v>
          </cell>
        </row>
        <row r="132">
          <cell r="D132" t="str">
            <v>CPR ALTO PAJEU</v>
          </cell>
          <cell r="E132" t="str">
            <v>GPR SERTAO</v>
          </cell>
          <cell r="F132" t="str">
            <v>Lote 3</v>
          </cell>
        </row>
        <row r="133">
          <cell r="D133" t="str">
            <v>CPR SERTAO CENTRAL</v>
          </cell>
          <cell r="E133" t="str">
            <v>GPR SERTAO</v>
          </cell>
          <cell r="F133" t="str">
            <v>Lote 3</v>
          </cell>
        </row>
        <row r="134">
          <cell r="D134" t="str">
            <v>CPR ARARIPE</v>
          </cell>
          <cell r="E134" t="str">
            <v>GPR SERTAO</v>
          </cell>
          <cell r="F134" t="str">
            <v>Lote 3</v>
          </cell>
        </row>
        <row r="135">
          <cell r="D135" t="str">
            <v>CPR PAJEU</v>
          </cell>
          <cell r="E135" t="str">
            <v>GPR SERTAO</v>
          </cell>
          <cell r="F135" t="str">
            <v>Lote 3</v>
          </cell>
        </row>
        <row r="136">
          <cell r="D136" t="str">
            <v>CPR ALTO PAJEU</v>
          </cell>
          <cell r="E136" t="str">
            <v>GPR SERTAO</v>
          </cell>
          <cell r="F136" t="str">
            <v>Lote 3</v>
          </cell>
        </row>
        <row r="137">
          <cell r="D137" t="str">
            <v>CPR MOXOTO</v>
          </cell>
          <cell r="E137" t="str">
            <v>GPR SERTAO</v>
          </cell>
          <cell r="F137" t="str">
            <v>Lote 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D2" t="str">
            <v>ETA - BOTAFOGO</v>
          </cell>
          <cell r="E2">
            <v>1</v>
          </cell>
          <cell r="F2">
            <v>0</v>
          </cell>
          <cell r="G2">
            <v>1</v>
          </cell>
          <cell r="H2" t="b">
            <v>0</v>
          </cell>
          <cell r="I2" t="b">
            <v>0</v>
          </cell>
          <cell r="J2">
            <v>6.5830400556897831E-2</v>
          </cell>
        </row>
        <row r="3">
          <cell r="D3" t="str">
            <v>ETA - GURJAÚ</v>
          </cell>
          <cell r="E3">
            <v>1</v>
          </cell>
          <cell r="F3">
            <v>1</v>
          </cell>
          <cell r="G3">
            <v>0</v>
          </cell>
          <cell r="H3" t="b">
            <v>0</v>
          </cell>
          <cell r="I3" t="b">
            <v>0</v>
          </cell>
          <cell r="J3">
            <v>3.6999999999999998E-2</v>
          </cell>
        </row>
        <row r="4">
          <cell r="D4" t="str">
            <v>ETA - PETROLINA I</v>
          </cell>
          <cell r="E4">
            <v>1</v>
          </cell>
          <cell r="F4">
            <v>0</v>
          </cell>
          <cell r="G4">
            <v>1</v>
          </cell>
          <cell r="H4" t="b">
            <v>0</v>
          </cell>
          <cell r="I4" t="b">
            <v>0</v>
          </cell>
          <cell r="J4">
            <v>2.0941114408308537E-2</v>
          </cell>
        </row>
        <row r="5">
          <cell r="D5" t="str">
            <v>ETA - Aliança</v>
          </cell>
          <cell r="E5">
            <v>1</v>
          </cell>
          <cell r="F5">
            <v>0</v>
          </cell>
          <cell r="G5">
            <v>0</v>
          </cell>
          <cell r="H5" t="b">
            <v>0</v>
          </cell>
          <cell r="I5" t="b">
            <v>1</v>
          </cell>
          <cell r="J5">
            <v>7.0550986145843659E-4</v>
          </cell>
        </row>
        <row r="6">
          <cell r="D6" t="str">
            <v>ETA - Garanhuns</v>
          </cell>
          <cell r="E6">
            <v>3</v>
          </cell>
          <cell r="F6">
            <v>0</v>
          </cell>
          <cell r="G6">
            <v>2</v>
          </cell>
          <cell r="H6" t="b">
            <v>0</v>
          </cell>
          <cell r="I6" t="b">
            <v>0</v>
          </cell>
          <cell r="J6">
            <v>1.6611194451697307E-2</v>
          </cell>
        </row>
        <row r="7">
          <cell r="D7" t="str">
            <v>ETA - Alto Bonito</v>
          </cell>
          <cell r="E7">
            <v>1</v>
          </cell>
          <cell r="F7">
            <v>0</v>
          </cell>
          <cell r="G7">
            <v>0</v>
          </cell>
          <cell r="H7" t="b">
            <v>0</v>
          </cell>
          <cell r="I7" t="b">
            <v>1</v>
          </cell>
          <cell r="J7">
            <v>6.573574431117256E-4</v>
          </cell>
        </row>
        <row r="8">
          <cell r="D8" t="str">
            <v>ETA - ALTO DO CEU</v>
          </cell>
          <cell r="E8">
            <v>0</v>
          </cell>
          <cell r="F8">
            <v>0</v>
          </cell>
          <cell r="G8">
            <v>0</v>
          </cell>
          <cell r="H8" t="b">
            <v>1</v>
          </cell>
          <cell r="I8" t="b">
            <v>1</v>
          </cell>
          <cell r="J8">
            <v>3.7092027648939929E-2</v>
          </cell>
        </row>
        <row r="9">
          <cell r="D9" t="str">
            <v>ETA - ARAÇOIABA</v>
          </cell>
          <cell r="E9">
            <v>1</v>
          </cell>
          <cell r="F9">
            <v>0</v>
          </cell>
          <cell r="G9">
            <v>0</v>
          </cell>
          <cell r="H9" t="b">
            <v>0</v>
          </cell>
          <cell r="I9" t="b">
            <v>1</v>
          </cell>
          <cell r="J9">
            <v>8.8156628459974055E-4</v>
          </cell>
        </row>
        <row r="10">
          <cell r="D10" t="str">
            <v>ETA - Araripina</v>
          </cell>
          <cell r="E10">
            <v>0</v>
          </cell>
          <cell r="F10">
            <v>0</v>
          </cell>
          <cell r="G10">
            <v>1</v>
          </cell>
          <cell r="H10" t="b">
            <v>1</v>
          </cell>
          <cell r="I10" t="b">
            <v>0</v>
          </cell>
          <cell r="J10">
            <v>2.3518457037598707E-3</v>
          </cell>
        </row>
        <row r="11">
          <cell r="D11" t="str">
            <v>ETA - VÁRZEA DO UNA</v>
          </cell>
          <cell r="E11">
            <v>1</v>
          </cell>
          <cell r="F11">
            <v>0</v>
          </cell>
          <cell r="G11">
            <v>1</v>
          </cell>
          <cell r="H11" t="b">
            <v>0</v>
          </cell>
          <cell r="I11" t="b">
            <v>0</v>
          </cell>
          <cell r="J11">
            <v>1.54E-2</v>
          </cell>
        </row>
        <row r="12">
          <cell r="D12" t="str">
            <v>ETA - Barra de Guabiraba</v>
          </cell>
          <cell r="E12">
            <v>1</v>
          </cell>
          <cell r="F12">
            <v>0</v>
          </cell>
          <cell r="G12">
            <v>0</v>
          </cell>
          <cell r="H12" t="b">
            <v>0</v>
          </cell>
          <cell r="I12" t="b">
            <v>1</v>
          </cell>
          <cell r="J12">
            <v>8.2114707780948286E-4</v>
          </cell>
        </row>
        <row r="13">
          <cell r="D13" t="str">
            <v>ETA - Barra do Farias</v>
          </cell>
          <cell r="E13">
            <v>0</v>
          </cell>
          <cell r="F13">
            <v>0</v>
          </cell>
          <cell r="G13">
            <v>0</v>
          </cell>
          <cell r="H13" t="b">
            <v>1</v>
          </cell>
          <cell r="I13" t="b">
            <v>1</v>
          </cell>
          <cell r="J13">
            <v>1.8266519476251285E-4</v>
          </cell>
        </row>
        <row r="14">
          <cell r="D14" t="str">
            <v>ETA - Vitória</v>
          </cell>
          <cell r="E14">
            <v>3</v>
          </cell>
          <cell r="F14">
            <v>0</v>
          </cell>
          <cell r="G14">
            <v>3</v>
          </cell>
          <cell r="H14" t="b">
            <v>0</v>
          </cell>
          <cell r="I14" t="b">
            <v>0</v>
          </cell>
          <cell r="J14">
            <v>1.3686343191424612E-2</v>
          </cell>
        </row>
        <row r="15">
          <cell r="D15" t="str">
            <v>ETA - VITÓRIA - PETROLINA</v>
          </cell>
          <cell r="E15">
            <v>0</v>
          </cell>
          <cell r="F15">
            <v>1</v>
          </cell>
          <cell r="G15">
            <v>1</v>
          </cell>
          <cell r="H15" t="b">
            <v>0</v>
          </cell>
          <cell r="I15" t="b">
            <v>0</v>
          </cell>
          <cell r="J15">
            <v>1.3479560678423565E-2</v>
          </cell>
        </row>
        <row r="16">
          <cell r="D16" t="str">
            <v>ETA - BATATEIRAS</v>
          </cell>
          <cell r="E16">
            <v>0</v>
          </cell>
          <cell r="F16">
            <v>0</v>
          </cell>
          <cell r="G16">
            <v>0</v>
          </cell>
          <cell r="H16" t="b">
            <v>1</v>
          </cell>
          <cell r="I16" t="b">
            <v>1</v>
          </cell>
          <cell r="J16">
            <v>1.9037381005897647E-4</v>
          </cell>
        </row>
        <row r="17">
          <cell r="D17" t="str">
            <v>ETA - Gravatá Nova</v>
          </cell>
          <cell r="E17">
            <v>4</v>
          </cell>
          <cell r="F17">
            <v>0</v>
          </cell>
          <cell r="G17">
            <v>2</v>
          </cell>
          <cell r="H17" t="b">
            <v>0</v>
          </cell>
          <cell r="I17" t="b">
            <v>0</v>
          </cell>
          <cell r="J17">
            <v>1.0976965448652742E-2</v>
          </cell>
        </row>
        <row r="18">
          <cell r="D18" t="str">
            <v>ETA - Belém de São Francisco</v>
          </cell>
          <cell r="E18">
            <v>0</v>
          </cell>
          <cell r="F18">
            <v>0</v>
          </cell>
          <cell r="G18">
            <v>1</v>
          </cell>
          <cell r="H18" t="b">
            <v>1</v>
          </cell>
          <cell r="I18" t="b">
            <v>0</v>
          </cell>
          <cell r="J18">
            <v>1.7932322352088733E-3</v>
          </cell>
        </row>
        <row r="19">
          <cell r="D19" t="str">
            <v>ETA - ARCOVERDE</v>
          </cell>
          <cell r="E19">
            <v>1</v>
          </cell>
          <cell r="F19">
            <v>1</v>
          </cell>
          <cell r="G19">
            <v>2</v>
          </cell>
          <cell r="H19" t="b">
            <v>0</v>
          </cell>
          <cell r="I19" t="b">
            <v>0</v>
          </cell>
          <cell r="J19">
            <v>9.7098288633171558E-3</v>
          </cell>
        </row>
        <row r="20">
          <cell r="D20" t="str">
            <v>ETA - Bitury</v>
          </cell>
          <cell r="E20">
            <v>0</v>
          </cell>
          <cell r="F20">
            <v>0</v>
          </cell>
          <cell r="G20">
            <v>0</v>
          </cell>
          <cell r="H20" t="b">
            <v>1</v>
          </cell>
          <cell r="I20" t="b">
            <v>1</v>
          </cell>
          <cell r="J20">
            <v>1.2784762664806139E-2</v>
          </cell>
        </row>
        <row r="21">
          <cell r="D21" t="str">
            <v>ETA - Bizarra</v>
          </cell>
          <cell r="E21">
            <v>1</v>
          </cell>
          <cell r="F21">
            <v>0</v>
          </cell>
          <cell r="G21">
            <v>0</v>
          </cell>
          <cell r="H21" t="b">
            <v>0</v>
          </cell>
          <cell r="I21" t="b">
            <v>1</v>
          </cell>
          <cell r="J21">
            <v>1.196782766096642E-4</v>
          </cell>
        </row>
        <row r="22">
          <cell r="D22" t="str">
            <v>ETA - BOLDRÓ</v>
          </cell>
          <cell r="E22">
            <v>0</v>
          </cell>
          <cell r="F22">
            <v>0</v>
          </cell>
          <cell r="G22">
            <v>0</v>
          </cell>
          <cell r="H22" t="b">
            <v>1</v>
          </cell>
          <cell r="I22" t="b">
            <v>1</v>
          </cell>
          <cell r="J22">
            <v>3.2406471838311715E-4</v>
          </cell>
        </row>
        <row r="23">
          <cell r="D23" t="str">
            <v>ETA - Jucazinho</v>
          </cell>
          <cell r="E23">
            <v>1</v>
          </cell>
          <cell r="F23">
            <v>1</v>
          </cell>
          <cell r="G23">
            <v>0</v>
          </cell>
          <cell r="H23" t="b">
            <v>0</v>
          </cell>
          <cell r="I23" t="b">
            <v>0</v>
          </cell>
          <cell r="J23">
            <v>7.9282903953347191E-3</v>
          </cell>
        </row>
        <row r="24">
          <cell r="D24" t="str">
            <v>ETA - BONANÇA</v>
          </cell>
          <cell r="E24">
            <v>1</v>
          </cell>
          <cell r="F24">
            <v>0</v>
          </cell>
          <cell r="G24">
            <v>0</v>
          </cell>
          <cell r="H24" t="b">
            <v>0</v>
          </cell>
          <cell r="I24" t="b">
            <v>1</v>
          </cell>
          <cell r="J24">
            <v>9.5796462417669075E-4</v>
          </cell>
        </row>
        <row r="25">
          <cell r="D25" t="str">
            <v>ETA - Bezerros</v>
          </cell>
          <cell r="E25">
            <v>0</v>
          </cell>
          <cell r="F25">
            <v>1</v>
          </cell>
          <cell r="G25">
            <v>2</v>
          </cell>
          <cell r="H25" t="b">
            <v>0</v>
          </cell>
          <cell r="I25" t="b">
            <v>0</v>
          </cell>
          <cell r="J25">
            <v>7.5144608618618125E-3</v>
          </cell>
        </row>
        <row r="26">
          <cell r="D26" t="str">
            <v>ETA - Buraco do Tatu/Bom Jardim</v>
          </cell>
          <cell r="E26">
            <v>1</v>
          </cell>
          <cell r="F26">
            <v>0</v>
          </cell>
          <cell r="G26">
            <v>1</v>
          </cell>
          <cell r="H26" t="b">
            <v>0</v>
          </cell>
          <cell r="I26" t="b">
            <v>0</v>
          </cell>
          <cell r="J26">
            <v>6.3389395476699528E-3</v>
          </cell>
        </row>
        <row r="27">
          <cell r="D27" t="str">
            <v>ETA - Escada</v>
          </cell>
          <cell r="E27">
            <v>2</v>
          </cell>
          <cell r="F27">
            <v>0</v>
          </cell>
          <cell r="G27">
            <v>1</v>
          </cell>
          <cell r="H27" t="b">
            <v>0</v>
          </cell>
          <cell r="I27" t="b">
            <v>0</v>
          </cell>
          <cell r="J27">
            <v>5.706862222068977E-3</v>
          </cell>
        </row>
        <row r="28">
          <cell r="D28" t="str">
            <v>ETA - BREJINHO</v>
          </cell>
          <cell r="E28">
            <v>0</v>
          </cell>
          <cell r="F28">
            <v>0</v>
          </cell>
          <cell r="G28">
            <v>1</v>
          </cell>
          <cell r="H28" t="b">
            <v>1</v>
          </cell>
          <cell r="I28" t="b">
            <v>0</v>
          </cell>
          <cell r="J28">
            <v>2.5457865278287115E-4</v>
          </cell>
        </row>
        <row r="29">
          <cell r="D29" t="str">
            <v>ETA - Timbaúba</v>
          </cell>
          <cell r="E29">
            <v>2</v>
          </cell>
          <cell r="F29">
            <v>0</v>
          </cell>
          <cell r="G29">
            <v>3</v>
          </cell>
          <cell r="H29" t="b">
            <v>0</v>
          </cell>
          <cell r="I29" t="b">
            <v>0</v>
          </cell>
          <cell r="J29">
            <v>5.4307659100265304E-3</v>
          </cell>
        </row>
        <row r="30">
          <cell r="D30" t="str">
            <v>ETA - AFOGADOS DA INGAZEIRA</v>
          </cell>
          <cell r="E30">
            <v>1</v>
          </cell>
          <cell r="F30">
            <v>1</v>
          </cell>
          <cell r="G30">
            <v>1</v>
          </cell>
          <cell r="H30" t="b">
            <v>0</v>
          </cell>
          <cell r="I30" t="b">
            <v>0</v>
          </cell>
          <cell r="J30">
            <v>4.2694230732635268E-3</v>
          </cell>
        </row>
        <row r="31">
          <cell r="D31" t="str">
            <v>ETA - Barreiros</v>
          </cell>
          <cell r="E31">
            <v>1</v>
          </cell>
          <cell r="F31">
            <v>0</v>
          </cell>
          <cell r="G31">
            <v>1</v>
          </cell>
          <cell r="H31" t="b">
            <v>0</v>
          </cell>
          <cell r="I31" t="b">
            <v>0</v>
          </cell>
          <cell r="J31">
            <v>3.8223352881217938E-3</v>
          </cell>
        </row>
        <row r="32">
          <cell r="D32" t="str">
            <v>ETA - CAIXA DAGUA</v>
          </cell>
          <cell r="E32">
            <v>0</v>
          </cell>
          <cell r="F32">
            <v>0</v>
          </cell>
          <cell r="G32">
            <v>1</v>
          </cell>
          <cell r="H32" t="b">
            <v>1</v>
          </cell>
          <cell r="I32" t="b">
            <v>0</v>
          </cell>
          <cell r="J32">
            <v>6.2973763251991275E-3</v>
          </cell>
        </row>
        <row r="33">
          <cell r="D33" t="str">
            <v>ETA - CALUMBI</v>
          </cell>
          <cell r="E33">
            <v>0</v>
          </cell>
          <cell r="F33">
            <v>0</v>
          </cell>
          <cell r="G33">
            <v>1</v>
          </cell>
          <cell r="H33" t="b">
            <v>1</v>
          </cell>
          <cell r="I33" t="b">
            <v>0</v>
          </cell>
          <cell r="J33">
            <v>2.7380986498866383E-4</v>
          </cell>
        </row>
        <row r="34">
          <cell r="D34" t="str">
            <v>ETA - JATOBÁ (ITAPARICA)</v>
          </cell>
          <cell r="E34">
            <v>1</v>
          </cell>
          <cell r="F34">
            <v>0</v>
          </cell>
          <cell r="G34">
            <v>1</v>
          </cell>
          <cell r="H34" t="b">
            <v>0</v>
          </cell>
          <cell r="I34" t="b">
            <v>0</v>
          </cell>
          <cell r="J34">
            <v>3.6028487428296538E-3</v>
          </cell>
        </row>
        <row r="35">
          <cell r="D35" t="str">
            <v>ETA - Afetos</v>
          </cell>
          <cell r="E35">
            <v>4</v>
          </cell>
          <cell r="F35">
            <v>3</v>
          </cell>
          <cell r="G35">
            <v>2</v>
          </cell>
          <cell r="H35" t="b">
            <v>0</v>
          </cell>
          <cell r="I35" t="b">
            <v>0</v>
          </cell>
          <cell r="J35">
            <v>3.5122332441510874E-3</v>
          </cell>
        </row>
        <row r="36">
          <cell r="D36" t="str">
            <v>ETA - SÃO JAQUES (LAJEDO)</v>
          </cell>
          <cell r="E36">
            <v>2</v>
          </cell>
          <cell r="F36">
            <v>2</v>
          </cell>
          <cell r="G36">
            <v>2</v>
          </cell>
          <cell r="H36" t="b">
            <v>0</v>
          </cell>
          <cell r="I36" t="b">
            <v>0</v>
          </cell>
          <cell r="J36">
            <v>3.3318544964423577E-3</v>
          </cell>
        </row>
        <row r="37">
          <cell r="D37" t="str">
            <v>ETA - Limoeiro</v>
          </cell>
          <cell r="E37">
            <v>2</v>
          </cell>
          <cell r="F37">
            <v>1</v>
          </cell>
          <cell r="G37">
            <v>3</v>
          </cell>
          <cell r="H37" t="b">
            <v>0</v>
          </cell>
          <cell r="I37" t="b">
            <v>0</v>
          </cell>
          <cell r="J37">
            <v>3.3141580226699265E-3</v>
          </cell>
        </row>
        <row r="38">
          <cell r="D38" t="str">
            <v>ETA - Cabrobó</v>
          </cell>
          <cell r="E38">
            <v>1</v>
          </cell>
          <cell r="F38">
            <v>0</v>
          </cell>
          <cell r="G38">
            <v>1</v>
          </cell>
          <cell r="H38" t="b">
            <v>0</v>
          </cell>
          <cell r="I38" t="b">
            <v>0</v>
          </cell>
          <cell r="J38">
            <v>3.2762123979348809E-3</v>
          </cell>
        </row>
        <row r="39">
          <cell r="D39" t="str">
            <v>ETA - Carpina/Pindoba</v>
          </cell>
          <cell r="E39">
            <v>1</v>
          </cell>
          <cell r="F39">
            <v>0</v>
          </cell>
          <cell r="G39">
            <v>0</v>
          </cell>
          <cell r="H39" t="b">
            <v>0</v>
          </cell>
          <cell r="I39" t="b">
            <v>1</v>
          </cell>
          <cell r="J39">
            <v>1.5869508612881068E-3</v>
          </cell>
        </row>
        <row r="40">
          <cell r="D40" t="str">
            <v>ETA - CASTELO BRANCO</v>
          </cell>
          <cell r="E40">
            <v>0</v>
          </cell>
          <cell r="F40">
            <v>0</v>
          </cell>
          <cell r="G40">
            <v>0</v>
          </cell>
          <cell r="H40" t="b">
            <v>1</v>
          </cell>
          <cell r="I40" t="b">
            <v>1</v>
          </cell>
          <cell r="J40">
            <v>0.11571740330207021</v>
          </cell>
        </row>
        <row r="41">
          <cell r="D41" t="str">
            <v>ETA - Bonito</v>
          </cell>
          <cell r="E41">
            <v>2</v>
          </cell>
          <cell r="F41">
            <v>2</v>
          </cell>
          <cell r="G41">
            <v>0</v>
          </cell>
          <cell r="H41" t="b">
            <v>0</v>
          </cell>
          <cell r="I41" t="b">
            <v>0</v>
          </cell>
          <cell r="J41">
            <v>2.9582239909001738E-3</v>
          </cell>
        </row>
        <row r="42">
          <cell r="D42" t="str">
            <v>ETA - Poço Fundo I</v>
          </cell>
          <cell r="E42">
            <v>3</v>
          </cell>
          <cell r="F42">
            <v>3</v>
          </cell>
          <cell r="G42">
            <v>1</v>
          </cell>
          <cell r="H42" t="b">
            <v>0</v>
          </cell>
          <cell r="I42" t="b">
            <v>0</v>
          </cell>
          <cell r="J42">
            <v>2.9369334102863505E-3</v>
          </cell>
        </row>
        <row r="43">
          <cell r="D43" t="str">
            <v>ETA - CHARNECA</v>
          </cell>
          <cell r="E43">
            <v>2</v>
          </cell>
          <cell r="F43">
            <v>0</v>
          </cell>
          <cell r="G43">
            <v>0</v>
          </cell>
          <cell r="H43" t="b">
            <v>0</v>
          </cell>
          <cell r="I43" t="b">
            <v>1</v>
          </cell>
          <cell r="J43">
            <v>1.4681808992614523E-3</v>
          </cell>
        </row>
        <row r="44">
          <cell r="D44" t="str">
            <v>ETA - SÃO JOSÉ DO EGITO</v>
          </cell>
          <cell r="E44">
            <v>1</v>
          </cell>
          <cell r="F44">
            <v>2</v>
          </cell>
          <cell r="G44">
            <v>0</v>
          </cell>
          <cell r="H44" t="b">
            <v>0</v>
          </cell>
          <cell r="I44" t="b">
            <v>0</v>
          </cell>
          <cell r="J44">
            <v>2.5700181684199354E-3</v>
          </cell>
        </row>
        <row r="45">
          <cell r="D45" t="str">
            <v>ETA - CRUZES</v>
          </cell>
          <cell r="E45">
            <v>1</v>
          </cell>
          <cell r="F45">
            <v>0</v>
          </cell>
          <cell r="G45">
            <v>0</v>
          </cell>
          <cell r="H45" t="b">
            <v>0</v>
          </cell>
          <cell r="I45" t="b">
            <v>1</v>
          </cell>
          <cell r="J45">
            <v>2.9087991491074365E-4</v>
          </cell>
        </row>
        <row r="46">
          <cell r="D46" t="str">
            <v>ETA - Cumaru</v>
          </cell>
          <cell r="E46">
            <v>0</v>
          </cell>
          <cell r="F46">
            <v>0</v>
          </cell>
          <cell r="G46">
            <v>1</v>
          </cell>
          <cell r="H46" t="b">
            <v>1</v>
          </cell>
          <cell r="I46" t="b">
            <v>0</v>
          </cell>
          <cell r="J46">
            <v>1.9425090387476484E-3</v>
          </cell>
        </row>
        <row r="47">
          <cell r="D47" t="str">
            <v>ETA - CUPIRA</v>
          </cell>
          <cell r="E47">
            <v>1</v>
          </cell>
          <cell r="F47">
            <v>0</v>
          </cell>
          <cell r="G47">
            <v>2</v>
          </cell>
          <cell r="H47" t="b">
            <v>0</v>
          </cell>
          <cell r="I47" t="b">
            <v>0</v>
          </cell>
          <cell r="J47">
            <v>2.3106896567917736E-3</v>
          </cell>
        </row>
        <row r="48">
          <cell r="D48" t="str">
            <v>ETA - CUSTÓDIA</v>
          </cell>
          <cell r="E48">
            <v>0</v>
          </cell>
          <cell r="F48">
            <v>0</v>
          </cell>
          <cell r="G48">
            <v>0</v>
          </cell>
          <cell r="H48" t="b">
            <v>1</v>
          </cell>
          <cell r="I48" t="b">
            <v>1</v>
          </cell>
          <cell r="J48">
            <v>2.9610742194192737E-3</v>
          </cell>
        </row>
        <row r="49">
          <cell r="D49" t="str">
            <v>ETA - DESSALINIZADOR</v>
          </cell>
          <cell r="E49">
            <v>0</v>
          </cell>
          <cell r="F49">
            <v>0</v>
          </cell>
          <cell r="G49">
            <v>0</v>
          </cell>
          <cell r="H49" t="b">
            <v>1</v>
          </cell>
          <cell r="I49" t="b">
            <v>1</v>
          </cell>
          <cell r="J49">
            <v>6.674702731458385E-4</v>
          </cell>
        </row>
        <row r="50">
          <cell r="D50" t="str">
            <v>ETA - MARCOS FREIRE</v>
          </cell>
          <cell r="E50">
            <v>2</v>
          </cell>
          <cell r="F50">
            <v>2</v>
          </cell>
          <cell r="G50">
            <v>0</v>
          </cell>
          <cell r="H50" t="b">
            <v>0</v>
          </cell>
          <cell r="I50" t="b">
            <v>0</v>
          </cell>
          <cell r="J50">
            <v>2.2309772218345385E-3</v>
          </cell>
        </row>
        <row r="51">
          <cell r="D51" t="str">
            <v>ETA - Fazenda Nova</v>
          </cell>
          <cell r="E51">
            <v>0</v>
          </cell>
          <cell r="F51">
            <v>0</v>
          </cell>
          <cell r="G51">
            <v>1</v>
          </cell>
          <cell r="H51" t="b">
            <v>1</v>
          </cell>
          <cell r="I51" t="b">
            <v>0</v>
          </cell>
          <cell r="J51">
            <v>3.8000436821951085E-4</v>
          </cell>
        </row>
        <row r="52">
          <cell r="D52" t="str">
            <v>ETA - São Caetano</v>
          </cell>
          <cell r="E52">
            <v>3</v>
          </cell>
          <cell r="F52">
            <v>0</v>
          </cell>
          <cell r="G52">
            <v>1</v>
          </cell>
          <cell r="H52" t="b">
            <v>0</v>
          </cell>
          <cell r="I52" t="b">
            <v>0</v>
          </cell>
          <cell r="J52">
            <v>2.0475133366628273E-3</v>
          </cell>
        </row>
        <row r="53">
          <cell r="D53" t="str">
            <v>ETA - Ferreiros</v>
          </cell>
          <cell r="E53">
            <v>2</v>
          </cell>
          <cell r="F53">
            <v>0</v>
          </cell>
          <cell r="G53">
            <v>0</v>
          </cell>
          <cell r="H53" t="b">
            <v>0</v>
          </cell>
          <cell r="I53" t="b">
            <v>1</v>
          </cell>
          <cell r="J53">
            <v>1.2477580069189997E-3</v>
          </cell>
        </row>
        <row r="54">
          <cell r="D54" t="str">
            <v>ETA - FLORES</v>
          </cell>
          <cell r="E54">
            <v>0</v>
          </cell>
          <cell r="F54">
            <v>0</v>
          </cell>
          <cell r="G54">
            <v>1</v>
          </cell>
          <cell r="H54" t="b">
            <v>1</v>
          </cell>
          <cell r="I54" t="b">
            <v>0</v>
          </cell>
          <cell r="J54">
            <v>8.4920507188461665E-4</v>
          </cell>
        </row>
        <row r="55">
          <cell r="D55" t="str">
            <v>ETA - FLORESTA</v>
          </cell>
          <cell r="E55">
            <v>0</v>
          </cell>
          <cell r="F55">
            <v>0</v>
          </cell>
          <cell r="G55">
            <v>1</v>
          </cell>
          <cell r="H55" t="b">
            <v>1</v>
          </cell>
          <cell r="I55" t="b">
            <v>0</v>
          </cell>
          <cell r="J55">
            <v>2.9831891738201599E-3</v>
          </cell>
        </row>
        <row r="56">
          <cell r="D56" t="str">
            <v>ETA - Frexeiras</v>
          </cell>
          <cell r="E56">
            <v>1</v>
          </cell>
          <cell r="F56">
            <v>0</v>
          </cell>
          <cell r="G56">
            <v>0</v>
          </cell>
          <cell r="H56" t="b">
            <v>0</v>
          </cell>
          <cell r="I56" t="b">
            <v>1</v>
          </cell>
          <cell r="J56">
            <v>5.6194917555411937E-4</v>
          </cell>
        </row>
        <row r="57">
          <cell r="D57" t="str">
            <v>ETA - PETROLINA II</v>
          </cell>
          <cell r="E57">
            <v>0</v>
          </cell>
          <cell r="F57">
            <v>1</v>
          </cell>
          <cell r="G57">
            <v>0</v>
          </cell>
          <cell r="H57" t="b">
            <v>0</v>
          </cell>
          <cell r="I57" t="b">
            <v>0</v>
          </cell>
          <cell r="J57">
            <v>2.0469965369862872E-3</v>
          </cell>
        </row>
        <row r="58">
          <cell r="D58" t="str">
            <v>ETA - Bom Conselho</v>
          </cell>
          <cell r="E58">
            <v>4</v>
          </cell>
          <cell r="F58">
            <v>0</v>
          </cell>
          <cell r="G58">
            <v>3</v>
          </cell>
          <cell r="H58" t="b">
            <v>0</v>
          </cell>
          <cell r="I58" t="b">
            <v>0</v>
          </cell>
          <cell r="J58">
            <v>1.9807611413514784E-3</v>
          </cell>
        </row>
        <row r="59">
          <cell r="D59" t="str">
            <v>ETA - GOIANA</v>
          </cell>
          <cell r="E59">
            <v>1</v>
          </cell>
          <cell r="F59">
            <v>0</v>
          </cell>
          <cell r="G59">
            <v>0</v>
          </cell>
          <cell r="H59" t="b">
            <v>0</v>
          </cell>
          <cell r="I59" t="b">
            <v>1</v>
          </cell>
          <cell r="J59">
            <v>2.3365836696758683E-3</v>
          </cell>
        </row>
        <row r="60">
          <cell r="D60" t="str">
            <v>ETA - LAGOA GRANDE</v>
          </cell>
          <cell r="E60">
            <v>1</v>
          </cell>
          <cell r="F60">
            <v>1</v>
          </cell>
          <cell r="G60">
            <v>2</v>
          </cell>
          <cell r="H60" t="b">
            <v>0</v>
          </cell>
          <cell r="I60" t="b">
            <v>0</v>
          </cell>
          <cell r="J60">
            <v>1.9465017077638265E-3</v>
          </cell>
        </row>
        <row r="61">
          <cell r="D61" t="str">
            <v>ETA - Gravatá Velha</v>
          </cell>
          <cell r="E61">
            <v>0</v>
          </cell>
          <cell r="F61">
            <v>0</v>
          </cell>
          <cell r="G61">
            <v>1</v>
          </cell>
          <cell r="H61" t="b">
            <v>1</v>
          </cell>
          <cell r="I61" t="b">
            <v>0</v>
          </cell>
          <cell r="J61">
            <v>2.1332629314778258E-3</v>
          </cell>
        </row>
        <row r="62">
          <cell r="D62" t="str">
            <v>ETA - Feira Nova</v>
          </cell>
          <cell r="E62">
            <v>2</v>
          </cell>
          <cell r="F62">
            <v>0</v>
          </cell>
          <cell r="G62">
            <v>1</v>
          </cell>
          <cell r="H62" t="b">
            <v>0</v>
          </cell>
          <cell r="I62" t="b">
            <v>0</v>
          </cell>
          <cell r="J62">
            <v>1.7159785138642679E-3</v>
          </cell>
        </row>
        <row r="63">
          <cell r="D63" t="str">
            <v>ETA - SERTÂNIA</v>
          </cell>
          <cell r="E63">
            <v>1</v>
          </cell>
          <cell r="F63">
            <v>1</v>
          </cell>
          <cell r="G63">
            <v>1</v>
          </cell>
          <cell r="H63" t="b">
            <v>0</v>
          </cell>
          <cell r="I63" t="b">
            <v>0</v>
          </cell>
          <cell r="J63">
            <v>1.4301882927376308E-3</v>
          </cell>
        </row>
        <row r="64">
          <cell r="D64" t="str">
            <v>ETA - IGUARACY</v>
          </cell>
          <cell r="E64">
            <v>0</v>
          </cell>
          <cell r="F64">
            <v>0</v>
          </cell>
          <cell r="G64">
            <v>0</v>
          </cell>
          <cell r="H64" t="b">
            <v>1</v>
          </cell>
          <cell r="I64" t="b">
            <v>1</v>
          </cell>
          <cell r="J64">
            <v>4.4433809765061536E-4</v>
          </cell>
        </row>
        <row r="65">
          <cell r="D65" t="str">
            <v>ETA - CANHOTINHO</v>
          </cell>
          <cell r="E65">
            <v>2</v>
          </cell>
          <cell r="F65">
            <v>1</v>
          </cell>
          <cell r="G65">
            <v>2</v>
          </cell>
          <cell r="H65" t="b">
            <v>0</v>
          </cell>
          <cell r="I65" t="b">
            <v>0</v>
          </cell>
          <cell r="J65">
            <v>1.3850716809756861E-3</v>
          </cell>
        </row>
        <row r="66">
          <cell r="D66" t="str">
            <v>ETA - TABIRA</v>
          </cell>
          <cell r="E66">
            <v>0</v>
          </cell>
          <cell r="F66">
            <v>1</v>
          </cell>
          <cell r="G66">
            <v>1</v>
          </cell>
          <cell r="H66" t="b">
            <v>0</v>
          </cell>
          <cell r="I66" t="b">
            <v>0</v>
          </cell>
          <cell r="J66">
            <v>1.3726805473978443E-3</v>
          </cell>
        </row>
        <row r="67">
          <cell r="D67" t="str">
            <v>ETA - Glória do Goitá</v>
          </cell>
          <cell r="E67">
            <v>2</v>
          </cell>
          <cell r="F67">
            <v>0</v>
          </cell>
          <cell r="G67">
            <v>1</v>
          </cell>
          <cell r="H67" t="b">
            <v>0</v>
          </cell>
          <cell r="I67" t="b">
            <v>0</v>
          </cell>
          <cell r="J67">
            <v>1.3604986393860204E-3</v>
          </cell>
        </row>
        <row r="68">
          <cell r="D68" t="str">
            <v>ETA - Ipubi</v>
          </cell>
          <cell r="E68">
            <v>0</v>
          </cell>
          <cell r="F68">
            <v>0</v>
          </cell>
          <cell r="G68">
            <v>0</v>
          </cell>
          <cell r="H68" t="b">
            <v>1</v>
          </cell>
          <cell r="I68" t="b">
            <v>1</v>
          </cell>
          <cell r="J68">
            <v>4.0551547952507786E-4</v>
          </cell>
        </row>
        <row r="69">
          <cell r="D69" t="str">
            <v>ETA - Joaquim Nabuco</v>
          </cell>
          <cell r="E69">
            <v>1</v>
          </cell>
          <cell r="F69">
            <v>1</v>
          </cell>
          <cell r="G69">
            <v>1</v>
          </cell>
          <cell r="H69" t="b">
            <v>0</v>
          </cell>
          <cell r="I69" t="b">
            <v>0</v>
          </cell>
          <cell r="J69">
            <v>1.2164837961901984E-3</v>
          </cell>
        </row>
        <row r="70">
          <cell r="D70" t="str">
            <v>ETA - ITAPETIM</v>
          </cell>
          <cell r="E70">
            <v>0</v>
          </cell>
          <cell r="F70">
            <v>0</v>
          </cell>
          <cell r="G70">
            <v>0</v>
          </cell>
          <cell r="H70" t="b">
            <v>1</v>
          </cell>
          <cell r="I70" t="b">
            <v>1</v>
          </cell>
          <cell r="J70">
            <v>7.403860093267593E-4</v>
          </cell>
        </row>
        <row r="71">
          <cell r="D71" t="str">
            <v>ETA - Itaquitinga</v>
          </cell>
          <cell r="E71">
            <v>1</v>
          </cell>
          <cell r="F71">
            <v>0</v>
          </cell>
          <cell r="G71">
            <v>0</v>
          </cell>
          <cell r="H71" t="b">
            <v>0</v>
          </cell>
          <cell r="I71" t="b">
            <v>1</v>
          </cell>
          <cell r="J71">
            <v>2.2148781288805036E-4</v>
          </cell>
        </row>
        <row r="72">
          <cell r="D72" t="str">
            <v>ETA - JABITACÁ</v>
          </cell>
          <cell r="E72">
            <v>0</v>
          </cell>
          <cell r="F72">
            <v>0</v>
          </cell>
          <cell r="G72">
            <v>1</v>
          </cell>
          <cell r="H72" t="b">
            <v>1</v>
          </cell>
          <cell r="I72" t="b">
            <v>0</v>
          </cell>
          <cell r="J72">
            <v>1.5594821754501913E-4</v>
          </cell>
        </row>
        <row r="73">
          <cell r="D73" t="str">
            <v>ETA - Águas Belas</v>
          </cell>
          <cell r="E73">
            <v>2</v>
          </cell>
          <cell r="F73">
            <v>0</v>
          </cell>
          <cell r="G73">
            <v>1</v>
          </cell>
          <cell r="H73" t="b">
            <v>0</v>
          </cell>
          <cell r="I73" t="b">
            <v>0</v>
          </cell>
          <cell r="J73">
            <v>1.1767372028853923E-3</v>
          </cell>
        </row>
        <row r="74">
          <cell r="D74" t="str">
            <v>ETA - Camocim de Sao Felix</v>
          </cell>
          <cell r="E74">
            <v>1</v>
          </cell>
          <cell r="F74">
            <v>0</v>
          </cell>
          <cell r="G74">
            <v>1</v>
          </cell>
          <cell r="H74" t="b">
            <v>0</v>
          </cell>
          <cell r="I74" t="b">
            <v>0</v>
          </cell>
          <cell r="J74">
            <v>1.168992411611571E-3</v>
          </cell>
        </row>
        <row r="75">
          <cell r="D75" t="str">
            <v>ETA - IPOJUCA</v>
          </cell>
          <cell r="E75">
            <v>1</v>
          </cell>
          <cell r="F75">
            <v>1</v>
          </cell>
          <cell r="G75">
            <v>1</v>
          </cell>
          <cell r="H75" t="b">
            <v>0</v>
          </cell>
          <cell r="I75" t="b">
            <v>0</v>
          </cell>
          <cell r="J75">
            <v>1.1485110140064393E-3</v>
          </cell>
        </row>
        <row r="76">
          <cell r="D76" t="str">
            <v>ETA - Rio Formoso</v>
          </cell>
          <cell r="E76">
            <v>2</v>
          </cell>
          <cell r="F76">
            <v>0</v>
          </cell>
          <cell r="G76">
            <v>1</v>
          </cell>
          <cell r="H76" t="b">
            <v>0</v>
          </cell>
          <cell r="I76" t="b">
            <v>0</v>
          </cell>
          <cell r="J76">
            <v>1.1415996796655104E-3</v>
          </cell>
        </row>
        <row r="77">
          <cell r="D77" t="str">
            <v>ETA - Pedra</v>
          </cell>
          <cell r="E77">
            <v>1</v>
          </cell>
          <cell r="F77">
            <v>0</v>
          </cell>
          <cell r="G77">
            <v>1</v>
          </cell>
          <cell r="H77" t="b">
            <v>0</v>
          </cell>
          <cell r="I77" t="b">
            <v>0</v>
          </cell>
          <cell r="J77">
            <v>1.0676290457205975E-3</v>
          </cell>
        </row>
        <row r="78">
          <cell r="D78" t="str">
            <v>ETA - MANOEL DE SENA</v>
          </cell>
          <cell r="E78">
            <v>0</v>
          </cell>
          <cell r="F78">
            <v>1</v>
          </cell>
          <cell r="G78">
            <v>1</v>
          </cell>
          <cell r="H78" t="b">
            <v>0</v>
          </cell>
          <cell r="I78" t="b">
            <v>0</v>
          </cell>
          <cell r="J78">
            <v>1.0522605195820353E-3</v>
          </cell>
        </row>
        <row r="79">
          <cell r="D79" t="str">
            <v>ETA - JUREMA</v>
          </cell>
          <cell r="E79">
            <v>1</v>
          </cell>
          <cell r="F79">
            <v>0</v>
          </cell>
          <cell r="G79">
            <v>0</v>
          </cell>
          <cell r="H79" t="b">
            <v>0</v>
          </cell>
          <cell r="I79" t="b">
            <v>1</v>
          </cell>
          <cell r="J79">
            <v>4.0409036526552807E-4</v>
          </cell>
        </row>
        <row r="80">
          <cell r="D80" t="str">
            <v>ETA - Lagoa de Itaenga</v>
          </cell>
          <cell r="E80">
            <v>0</v>
          </cell>
          <cell r="F80">
            <v>0</v>
          </cell>
          <cell r="G80">
            <v>1</v>
          </cell>
          <cell r="H80" t="b">
            <v>1</v>
          </cell>
          <cell r="I80" t="b">
            <v>0</v>
          </cell>
          <cell r="J80">
            <v>9.1237067744077819E-4</v>
          </cell>
        </row>
        <row r="81">
          <cell r="D81" t="str">
            <v>ETA - São Joaquim do Monte</v>
          </cell>
          <cell r="E81">
            <v>1</v>
          </cell>
          <cell r="F81">
            <v>0</v>
          </cell>
          <cell r="G81">
            <v>1</v>
          </cell>
          <cell r="H81" t="b">
            <v>0</v>
          </cell>
          <cell r="I81" t="b">
            <v>0</v>
          </cell>
          <cell r="J81">
            <v>1.0500152598964126E-3</v>
          </cell>
        </row>
        <row r="82">
          <cell r="D82" t="str">
            <v>ETA - Lagoa do Carro</v>
          </cell>
          <cell r="E82">
            <v>1</v>
          </cell>
          <cell r="F82">
            <v>0</v>
          </cell>
          <cell r="G82">
            <v>0</v>
          </cell>
          <cell r="H82" t="b">
            <v>0</v>
          </cell>
          <cell r="I82" t="b">
            <v>1</v>
          </cell>
          <cell r="J82">
            <v>1.0528618864783727E-3</v>
          </cell>
        </row>
        <row r="83">
          <cell r="D83" t="str">
            <v>ETA - Ipaneminha</v>
          </cell>
          <cell r="E83">
            <v>1</v>
          </cell>
          <cell r="F83">
            <v>0</v>
          </cell>
          <cell r="G83">
            <v>2</v>
          </cell>
          <cell r="H83" t="b">
            <v>0</v>
          </cell>
          <cell r="I83" t="b">
            <v>0</v>
          </cell>
          <cell r="J83">
            <v>9.4228554841431652E-4</v>
          </cell>
        </row>
        <row r="84">
          <cell r="D84" t="str">
            <v>ETA - LAGOA DOS GATOS</v>
          </cell>
          <cell r="E84">
            <v>0</v>
          </cell>
          <cell r="F84">
            <v>0</v>
          </cell>
          <cell r="G84">
            <v>0</v>
          </cell>
          <cell r="H84" t="b">
            <v>1</v>
          </cell>
          <cell r="I84" t="b">
            <v>1</v>
          </cell>
          <cell r="J84">
            <v>9.3506914565826677E-4</v>
          </cell>
        </row>
        <row r="85">
          <cell r="D85" t="str">
            <v>ETA - Vermelhos</v>
          </cell>
          <cell r="E85">
            <v>1</v>
          </cell>
          <cell r="F85">
            <v>0</v>
          </cell>
          <cell r="G85">
            <v>1</v>
          </cell>
          <cell r="H85" t="b">
            <v>0</v>
          </cell>
          <cell r="I85" t="b">
            <v>0</v>
          </cell>
          <cell r="J85">
            <v>8.8158194519599936E-4</v>
          </cell>
        </row>
        <row r="86">
          <cell r="D86" t="str">
            <v>ETA - Lagoa do Barro</v>
          </cell>
          <cell r="E86">
            <v>1</v>
          </cell>
          <cell r="F86">
            <v>0</v>
          </cell>
          <cell r="G86">
            <v>1</v>
          </cell>
          <cell r="H86" t="b">
            <v>0</v>
          </cell>
          <cell r="I86" t="b">
            <v>0</v>
          </cell>
          <cell r="J86">
            <v>8.8025079451400229E-4</v>
          </cell>
        </row>
        <row r="87">
          <cell r="D87" t="str">
            <v>ETA - Luiz Gonzaga</v>
          </cell>
          <cell r="E87">
            <v>0</v>
          </cell>
          <cell r="F87">
            <v>0</v>
          </cell>
          <cell r="G87">
            <v>1</v>
          </cell>
          <cell r="H87" t="b">
            <v>1</v>
          </cell>
          <cell r="I87" t="b">
            <v>0</v>
          </cell>
          <cell r="J87">
            <v>3.0020110180397474E-3</v>
          </cell>
        </row>
        <row r="88">
          <cell r="D88" t="str">
            <v>ETA - Macaparana</v>
          </cell>
          <cell r="E88">
            <v>1</v>
          </cell>
          <cell r="F88">
            <v>0</v>
          </cell>
          <cell r="G88">
            <v>0</v>
          </cell>
          <cell r="H88" t="b">
            <v>0</v>
          </cell>
          <cell r="I88" t="b">
            <v>1</v>
          </cell>
          <cell r="J88">
            <v>1.0939709516576935E-3</v>
          </cell>
        </row>
        <row r="89">
          <cell r="D89" t="str">
            <v>ETA - Machado</v>
          </cell>
          <cell r="E89">
            <v>0</v>
          </cell>
          <cell r="F89">
            <v>0</v>
          </cell>
          <cell r="G89">
            <v>1</v>
          </cell>
          <cell r="H89" t="b">
            <v>1</v>
          </cell>
          <cell r="I89" t="b">
            <v>0</v>
          </cell>
          <cell r="J89">
            <v>1.5782905515569967E-3</v>
          </cell>
        </row>
        <row r="90">
          <cell r="D90" t="str">
            <v>ETA - CAMELA</v>
          </cell>
          <cell r="E90">
            <v>1</v>
          </cell>
          <cell r="F90">
            <v>1</v>
          </cell>
          <cell r="G90">
            <v>1</v>
          </cell>
          <cell r="H90" t="b">
            <v>0</v>
          </cell>
          <cell r="I90" t="b">
            <v>0</v>
          </cell>
          <cell r="J90">
            <v>8.6742868132711891E-4</v>
          </cell>
        </row>
        <row r="91">
          <cell r="D91" t="str">
            <v>ETA - CARNAIBA</v>
          </cell>
          <cell r="E91">
            <v>0</v>
          </cell>
          <cell r="F91">
            <v>1</v>
          </cell>
          <cell r="G91">
            <v>1</v>
          </cell>
          <cell r="H91" t="b">
            <v>0</v>
          </cell>
          <cell r="I91" t="b">
            <v>0</v>
          </cell>
          <cell r="J91">
            <v>8.5214002422947632E-4</v>
          </cell>
        </row>
        <row r="92">
          <cell r="D92" t="str">
            <v>ETA - Chã Grande</v>
          </cell>
          <cell r="E92">
            <v>3</v>
          </cell>
          <cell r="F92">
            <v>1</v>
          </cell>
          <cell r="G92">
            <v>1</v>
          </cell>
          <cell r="H92" t="b">
            <v>0</v>
          </cell>
          <cell r="I92" t="b">
            <v>0</v>
          </cell>
          <cell r="J92">
            <v>8.2191460363212614E-4</v>
          </cell>
        </row>
        <row r="93">
          <cell r="D93" t="str">
            <v>ETA - MURIBEQUINHA</v>
          </cell>
          <cell r="E93">
            <v>1</v>
          </cell>
          <cell r="F93">
            <v>1</v>
          </cell>
          <cell r="G93">
            <v>0</v>
          </cell>
          <cell r="H93" t="b">
            <v>0</v>
          </cell>
          <cell r="I93" t="b">
            <v>0</v>
          </cell>
          <cell r="J93">
            <v>8.1832879690675131E-4</v>
          </cell>
        </row>
        <row r="94">
          <cell r="D94" t="str">
            <v>ETA - Guadalajara</v>
          </cell>
          <cell r="E94">
            <v>1</v>
          </cell>
          <cell r="F94">
            <v>0</v>
          </cell>
          <cell r="G94">
            <v>1</v>
          </cell>
          <cell r="H94" t="b">
            <v>0</v>
          </cell>
          <cell r="I94" t="b">
            <v>0</v>
          </cell>
          <cell r="J94">
            <v>8.1596404687167415E-4</v>
          </cell>
        </row>
        <row r="95">
          <cell r="D95" t="str">
            <v>ETA - Primavera</v>
          </cell>
          <cell r="E95">
            <v>2</v>
          </cell>
          <cell r="F95">
            <v>0</v>
          </cell>
          <cell r="G95">
            <v>1</v>
          </cell>
          <cell r="H95" t="b">
            <v>0</v>
          </cell>
          <cell r="I95" t="b">
            <v>0</v>
          </cell>
          <cell r="J95">
            <v>8.1014222021246938E-4</v>
          </cell>
        </row>
        <row r="96">
          <cell r="D96" t="str">
            <v>ETA - MATRIZ DA LUZ</v>
          </cell>
          <cell r="E96">
            <v>0</v>
          </cell>
          <cell r="F96">
            <v>0</v>
          </cell>
          <cell r="G96">
            <v>0</v>
          </cell>
          <cell r="H96" t="b">
            <v>1</v>
          </cell>
          <cell r="I96" t="b">
            <v>1</v>
          </cell>
          <cell r="J96">
            <v>2.6402481123424739E-4</v>
          </cell>
        </row>
        <row r="97">
          <cell r="D97" t="str">
            <v>ETA - Capoeiras</v>
          </cell>
          <cell r="E97">
            <v>2</v>
          </cell>
          <cell r="F97">
            <v>0</v>
          </cell>
          <cell r="G97">
            <v>1</v>
          </cell>
          <cell r="H97" t="b">
            <v>0</v>
          </cell>
          <cell r="I97" t="b">
            <v>0</v>
          </cell>
          <cell r="J97">
            <v>7.4810668328234217E-4</v>
          </cell>
        </row>
        <row r="98">
          <cell r="D98" t="str">
            <v>ETA - MORENO</v>
          </cell>
          <cell r="E98">
            <v>0</v>
          </cell>
          <cell r="F98">
            <v>0</v>
          </cell>
          <cell r="G98">
            <v>0</v>
          </cell>
          <cell r="H98" t="b">
            <v>1</v>
          </cell>
          <cell r="I98" t="b">
            <v>1</v>
          </cell>
          <cell r="J98">
            <v>3.2178140344858576E-3</v>
          </cell>
        </row>
        <row r="99">
          <cell r="D99" t="str">
            <v>ETA - MORRO DO CRIOULO</v>
          </cell>
          <cell r="E99">
            <v>1</v>
          </cell>
          <cell r="F99">
            <v>0</v>
          </cell>
          <cell r="G99">
            <v>0</v>
          </cell>
          <cell r="H99" t="b">
            <v>0</v>
          </cell>
          <cell r="I99" t="b">
            <v>1</v>
          </cell>
          <cell r="J99">
            <v>2.3359126131261791E-3</v>
          </cell>
        </row>
        <row r="100">
          <cell r="D100" t="str">
            <v>ETA - Correntes</v>
          </cell>
          <cell r="E100">
            <v>1</v>
          </cell>
          <cell r="F100">
            <v>0</v>
          </cell>
          <cell r="G100">
            <v>1</v>
          </cell>
          <cell r="H100" t="b">
            <v>0</v>
          </cell>
          <cell r="I100" t="b">
            <v>0</v>
          </cell>
          <cell r="J100">
            <v>7.3579745462293419E-4</v>
          </cell>
        </row>
        <row r="101">
          <cell r="D101" t="str">
            <v>ETA - Murupé</v>
          </cell>
          <cell r="E101">
            <v>2</v>
          </cell>
          <cell r="F101">
            <v>0</v>
          </cell>
          <cell r="G101">
            <v>0</v>
          </cell>
          <cell r="H101" t="b">
            <v>0</v>
          </cell>
          <cell r="I101" t="b">
            <v>1</v>
          </cell>
          <cell r="J101">
            <v>8.0041307478669679E-3</v>
          </cell>
        </row>
        <row r="102">
          <cell r="D102" t="str">
            <v>ETA - TUPARETAMA</v>
          </cell>
          <cell r="E102">
            <v>0</v>
          </cell>
          <cell r="F102">
            <v>1</v>
          </cell>
          <cell r="G102">
            <v>0</v>
          </cell>
          <cell r="H102" t="b">
            <v>0</v>
          </cell>
          <cell r="I102" t="b">
            <v>0</v>
          </cell>
          <cell r="J102">
            <v>7.1929118616617074E-4</v>
          </cell>
        </row>
        <row r="103">
          <cell r="D103" t="str">
            <v>ETA - Nazaré da Mata</v>
          </cell>
          <cell r="E103">
            <v>2</v>
          </cell>
          <cell r="F103">
            <v>0</v>
          </cell>
          <cell r="G103">
            <v>0</v>
          </cell>
          <cell r="H103" t="b">
            <v>0</v>
          </cell>
          <cell r="I103" t="b">
            <v>1</v>
          </cell>
          <cell r="J103">
            <v>2.6441350723339055E-3</v>
          </cell>
        </row>
        <row r="104">
          <cell r="D104" t="str">
            <v>ETA - NOVA AGRESTINA</v>
          </cell>
          <cell r="E104">
            <v>0</v>
          </cell>
          <cell r="F104">
            <v>0</v>
          </cell>
          <cell r="G104">
            <v>1</v>
          </cell>
          <cell r="H104" t="b">
            <v>1</v>
          </cell>
          <cell r="I104" t="b">
            <v>0</v>
          </cell>
          <cell r="J104">
            <v>3.747417657921112E-3</v>
          </cell>
        </row>
        <row r="105">
          <cell r="D105" t="str">
            <v>ETA - Nova/Amaraji</v>
          </cell>
          <cell r="E105">
            <v>1</v>
          </cell>
          <cell r="F105">
            <v>0</v>
          </cell>
          <cell r="G105">
            <v>0</v>
          </cell>
          <cell r="H105" t="b">
            <v>0</v>
          </cell>
          <cell r="I105" t="b">
            <v>1</v>
          </cell>
          <cell r="J105">
            <v>4.6660120129210954E-3</v>
          </cell>
        </row>
        <row r="106">
          <cell r="D106" t="str">
            <v>ETA - BUÍQUE</v>
          </cell>
          <cell r="E106">
            <v>1</v>
          </cell>
          <cell r="F106">
            <v>1</v>
          </cell>
          <cell r="G106">
            <v>1</v>
          </cell>
          <cell r="H106" t="b">
            <v>0</v>
          </cell>
          <cell r="I106" t="b">
            <v>0</v>
          </cell>
          <cell r="J106">
            <v>6.7342129972417831E-4</v>
          </cell>
        </row>
        <row r="107">
          <cell r="D107" t="str">
            <v>ETA - OURICURI (VOLUNTÁRIOS DA PÁTRIA)</v>
          </cell>
          <cell r="E107">
            <v>0</v>
          </cell>
          <cell r="F107">
            <v>0</v>
          </cell>
          <cell r="G107">
            <v>0</v>
          </cell>
          <cell r="H107" t="b">
            <v>1</v>
          </cell>
          <cell r="I107" t="b">
            <v>1</v>
          </cell>
          <cell r="J107">
            <v>3.2811454857563996E-3</v>
          </cell>
        </row>
        <row r="108">
          <cell r="D108" t="str">
            <v>ETA - PALMEIRINA</v>
          </cell>
          <cell r="E108">
            <v>1</v>
          </cell>
          <cell r="F108">
            <v>0</v>
          </cell>
          <cell r="G108">
            <v>0</v>
          </cell>
          <cell r="H108" t="b">
            <v>0</v>
          </cell>
          <cell r="I108" t="b">
            <v>1</v>
          </cell>
          <cell r="J108">
            <v>6.018523748215134E-4</v>
          </cell>
        </row>
        <row r="109">
          <cell r="D109" t="str">
            <v>ETA - PANELAS</v>
          </cell>
          <cell r="E109">
            <v>1</v>
          </cell>
          <cell r="F109">
            <v>0</v>
          </cell>
          <cell r="G109">
            <v>0</v>
          </cell>
          <cell r="H109" t="b">
            <v>0</v>
          </cell>
          <cell r="I109" t="b">
            <v>1</v>
          </cell>
          <cell r="J109">
            <v>6.1662564169627911E-4</v>
          </cell>
        </row>
        <row r="110">
          <cell r="D110" t="str">
            <v>ETA - Pão de Açucar</v>
          </cell>
          <cell r="E110">
            <v>0</v>
          </cell>
          <cell r="F110">
            <v>0</v>
          </cell>
          <cell r="G110">
            <v>0</v>
          </cell>
          <cell r="H110" t="b">
            <v>1</v>
          </cell>
          <cell r="I110" t="b">
            <v>1</v>
          </cell>
          <cell r="J110">
            <v>2.7268230205803104E-4</v>
          </cell>
        </row>
        <row r="111">
          <cell r="D111" t="str">
            <v>ETA - Parnamirim</v>
          </cell>
          <cell r="E111">
            <v>0</v>
          </cell>
          <cell r="F111">
            <v>0</v>
          </cell>
          <cell r="G111">
            <v>1</v>
          </cell>
          <cell r="H111" t="b">
            <v>1</v>
          </cell>
          <cell r="I111" t="b">
            <v>0</v>
          </cell>
          <cell r="J111">
            <v>8.72044642074397E-4</v>
          </cell>
        </row>
        <row r="112">
          <cell r="D112" t="str">
            <v>ETA - Paudalho</v>
          </cell>
          <cell r="E112">
            <v>1</v>
          </cell>
          <cell r="F112">
            <v>0</v>
          </cell>
          <cell r="G112">
            <v>0</v>
          </cell>
          <cell r="H112" t="b">
            <v>0</v>
          </cell>
          <cell r="I112" t="b">
            <v>1</v>
          </cell>
          <cell r="J112">
            <v>6.9802722856598725E-3</v>
          </cell>
        </row>
        <row r="113">
          <cell r="D113" t="str">
            <v>ETA - Orocó</v>
          </cell>
          <cell r="E113">
            <v>1</v>
          </cell>
          <cell r="F113">
            <v>0</v>
          </cell>
          <cell r="G113">
            <v>1</v>
          </cell>
          <cell r="H113" t="b">
            <v>0</v>
          </cell>
          <cell r="I113" t="b">
            <v>0</v>
          </cell>
          <cell r="J113">
            <v>6.7299846362519104E-4</v>
          </cell>
        </row>
        <row r="114">
          <cell r="D114" t="str">
            <v>ETA - PETROLÂNDIA</v>
          </cell>
          <cell r="E114">
            <v>1</v>
          </cell>
          <cell r="F114">
            <v>0</v>
          </cell>
          <cell r="G114">
            <v>0</v>
          </cell>
          <cell r="H114" t="b">
            <v>0</v>
          </cell>
          <cell r="I114" t="b">
            <v>1</v>
          </cell>
          <cell r="J114">
            <v>2.7074665236044475E-3</v>
          </cell>
        </row>
        <row r="115">
          <cell r="D115" t="str">
            <v>ETA - ALTINHO</v>
          </cell>
          <cell r="E115">
            <v>1</v>
          </cell>
          <cell r="F115">
            <v>1</v>
          </cell>
          <cell r="G115">
            <v>1</v>
          </cell>
          <cell r="H115" t="b">
            <v>0</v>
          </cell>
          <cell r="I115" t="b">
            <v>0</v>
          </cell>
          <cell r="J115">
            <v>5.9762401383164042E-4</v>
          </cell>
        </row>
        <row r="116">
          <cell r="D116" t="str">
            <v>ETA - João Alfredo/Canguengo</v>
          </cell>
          <cell r="E116">
            <v>1</v>
          </cell>
          <cell r="F116">
            <v>1</v>
          </cell>
          <cell r="G116">
            <v>1</v>
          </cell>
          <cell r="H116" t="b">
            <v>0</v>
          </cell>
          <cell r="I116" t="b">
            <v>0</v>
          </cell>
          <cell r="J116">
            <v>5.2769945153614828E-4</v>
          </cell>
        </row>
        <row r="117">
          <cell r="D117" t="str">
            <v>ETA - Petropolis</v>
          </cell>
          <cell r="E117">
            <v>0</v>
          </cell>
          <cell r="F117">
            <v>0</v>
          </cell>
          <cell r="G117">
            <v>1</v>
          </cell>
          <cell r="H117" t="b">
            <v>1</v>
          </cell>
          <cell r="I117" t="b">
            <v>0</v>
          </cell>
          <cell r="J117">
            <v>2.5848702237544791E-2</v>
          </cell>
        </row>
        <row r="118">
          <cell r="D118" t="str">
            <v>ETA - PIRAPAMA</v>
          </cell>
          <cell r="E118">
            <v>0</v>
          </cell>
          <cell r="F118">
            <v>0</v>
          </cell>
          <cell r="G118">
            <v>0</v>
          </cell>
          <cell r="H118" t="b">
            <v>1</v>
          </cell>
          <cell r="I118" t="b">
            <v>1</v>
          </cell>
          <cell r="J118">
            <v>0.19422872612137293</v>
          </cell>
        </row>
        <row r="119">
          <cell r="D119" t="str">
            <v>ETA - Vicência</v>
          </cell>
          <cell r="E119">
            <v>2</v>
          </cell>
          <cell r="F119">
            <v>2</v>
          </cell>
          <cell r="G119">
            <v>2</v>
          </cell>
          <cell r="H119" t="b">
            <v>0</v>
          </cell>
          <cell r="I119" t="b">
            <v>0</v>
          </cell>
          <cell r="J119">
            <v>5.15405883472999E-4</v>
          </cell>
        </row>
        <row r="120">
          <cell r="D120" t="str">
            <v>ETA - Chã de Alegria</v>
          </cell>
          <cell r="E120">
            <v>1</v>
          </cell>
          <cell r="F120">
            <v>1</v>
          </cell>
          <cell r="G120">
            <v>0</v>
          </cell>
          <cell r="H120" t="b">
            <v>0</v>
          </cell>
          <cell r="I120" t="b">
            <v>0</v>
          </cell>
          <cell r="J120">
            <v>4.8186088628667336E-4</v>
          </cell>
        </row>
        <row r="121">
          <cell r="D121" t="str">
            <v>ETA - Lagoa do Ouro</v>
          </cell>
          <cell r="E121">
            <v>1</v>
          </cell>
          <cell r="F121">
            <v>0</v>
          </cell>
          <cell r="G121">
            <v>1</v>
          </cell>
          <cell r="H121" t="b">
            <v>0</v>
          </cell>
          <cell r="I121" t="b">
            <v>0</v>
          </cell>
          <cell r="J121">
            <v>4.7550268420560508E-4</v>
          </cell>
        </row>
        <row r="122">
          <cell r="D122" t="str">
            <v>ETA - Pombos</v>
          </cell>
          <cell r="E122">
            <v>1</v>
          </cell>
          <cell r="F122">
            <v>0</v>
          </cell>
          <cell r="G122">
            <v>0</v>
          </cell>
          <cell r="H122" t="b">
            <v>0</v>
          </cell>
          <cell r="I122" t="b">
            <v>1</v>
          </cell>
          <cell r="J122">
            <v>1.6794861924620383E-3</v>
          </cell>
        </row>
        <row r="123">
          <cell r="D123" t="str">
            <v>ETA - MARAIAL</v>
          </cell>
          <cell r="E123">
            <v>1</v>
          </cell>
          <cell r="F123">
            <v>1</v>
          </cell>
          <cell r="G123">
            <v>0</v>
          </cell>
          <cell r="H123" t="b">
            <v>0</v>
          </cell>
          <cell r="I123" t="b">
            <v>0</v>
          </cell>
          <cell r="J123">
            <v>4.4090842706994061E-4</v>
          </cell>
        </row>
        <row r="124">
          <cell r="D124" t="str">
            <v>ETA - QUIPAPÁ</v>
          </cell>
          <cell r="E124">
            <v>1</v>
          </cell>
          <cell r="F124">
            <v>0</v>
          </cell>
          <cell r="G124">
            <v>0</v>
          </cell>
          <cell r="H124" t="b">
            <v>0</v>
          </cell>
          <cell r="I124" t="b">
            <v>1</v>
          </cell>
          <cell r="J124">
            <v>1.0718268685477659E-3</v>
          </cell>
        </row>
        <row r="125">
          <cell r="D125" t="str">
            <v>ETA - QUIXABA</v>
          </cell>
          <cell r="E125">
            <v>0</v>
          </cell>
          <cell r="F125">
            <v>0</v>
          </cell>
          <cell r="G125">
            <v>1</v>
          </cell>
          <cell r="H125" t="b">
            <v>1</v>
          </cell>
          <cell r="I125" t="b">
            <v>0</v>
          </cell>
          <cell r="J125">
            <v>2.2279547267565922E-4</v>
          </cell>
        </row>
        <row r="126">
          <cell r="D126" t="str">
            <v>ETA - Riacho das almas</v>
          </cell>
          <cell r="E126">
            <v>0</v>
          </cell>
          <cell r="F126">
            <v>0</v>
          </cell>
          <cell r="G126">
            <v>3</v>
          </cell>
          <cell r="H126" t="b">
            <v>1</v>
          </cell>
          <cell r="I126" t="b">
            <v>0</v>
          </cell>
          <cell r="J126">
            <v>1.018116504588811E-3</v>
          </cell>
        </row>
        <row r="127">
          <cell r="D127" t="str">
            <v>ETA - Ribeirão</v>
          </cell>
          <cell r="E127">
            <v>0</v>
          </cell>
          <cell r="F127">
            <v>0</v>
          </cell>
          <cell r="G127">
            <v>1</v>
          </cell>
          <cell r="H127" t="b">
            <v>1</v>
          </cell>
          <cell r="I127" t="b">
            <v>0</v>
          </cell>
          <cell r="J127">
            <v>4.5554012215452697E-3</v>
          </cell>
        </row>
        <row r="128">
          <cell r="D128" t="str">
            <v>ETA - ITACURUBA</v>
          </cell>
          <cell r="E128">
            <v>1</v>
          </cell>
          <cell r="F128">
            <v>1</v>
          </cell>
          <cell r="G128">
            <v>2</v>
          </cell>
          <cell r="H128" t="b">
            <v>0</v>
          </cell>
          <cell r="I128" t="b">
            <v>0</v>
          </cell>
          <cell r="J128">
            <v>4.3671217030239812E-4</v>
          </cell>
        </row>
        <row r="129">
          <cell r="D129" t="str">
            <v>ETA - ROSAS</v>
          </cell>
          <cell r="E129">
            <v>0</v>
          </cell>
          <cell r="F129">
            <v>0</v>
          </cell>
          <cell r="G129">
            <v>1</v>
          </cell>
          <cell r="H129" t="b">
            <v>1</v>
          </cell>
          <cell r="I129" t="b">
            <v>0</v>
          </cell>
          <cell r="J129">
            <v>1.4175188703642704E-3</v>
          </cell>
        </row>
        <row r="130">
          <cell r="D130" t="str">
            <v>ETA - ROSAS UF</v>
          </cell>
          <cell r="E130">
            <v>0</v>
          </cell>
          <cell r="F130">
            <v>0</v>
          </cell>
          <cell r="G130">
            <v>0</v>
          </cell>
          <cell r="H130" t="b">
            <v>1</v>
          </cell>
          <cell r="I130" t="b">
            <v>1</v>
          </cell>
          <cell r="J130">
            <v>0</v>
          </cell>
        </row>
        <row r="131">
          <cell r="D131" t="str">
            <v>ETA - Machados</v>
          </cell>
          <cell r="E131">
            <v>1</v>
          </cell>
          <cell r="F131">
            <v>1</v>
          </cell>
          <cell r="G131">
            <v>1</v>
          </cell>
          <cell r="H131" t="b">
            <v>0</v>
          </cell>
          <cell r="I131" t="b">
            <v>0</v>
          </cell>
          <cell r="J131">
            <v>4.2329025627880319E-4</v>
          </cell>
        </row>
        <row r="132">
          <cell r="D132" t="str">
            <v>ETA - Salgado</v>
          </cell>
          <cell r="E132">
            <v>0</v>
          </cell>
          <cell r="F132">
            <v>0</v>
          </cell>
          <cell r="G132">
            <v>1</v>
          </cell>
          <cell r="H132" t="b">
            <v>1</v>
          </cell>
          <cell r="I132" t="b">
            <v>0</v>
          </cell>
          <cell r="J132">
            <v>9.9778983367471603E-3</v>
          </cell>
        </row>
        <row r="133">
          <cell r="D133" t="str">
            <v>ETA - Salgueiro</v>
          </cell>
          <cell r="E133">
            <v>0</v>
          </cell>
          <cell r="F133">
            <v>0</v>
          </cell>
          <cell r="G133">
            <v>2</v>
          </cell>
          <cell r="H133" t="b">
            <v>1</v>
          </cell>
          <cell r="I133" t="b">
            <v>0</v>
          </cell>
          <cell r="J133">
            <v>7.6804526896054812E-3</v>
          </cell>
        </row>
        <row r="134">
          <cell r="D134" t="str">
            <v>ETA - SAIRÉ</v>
          </cell>
          <cell r="E134">
            <v>1</v>
          </cell>
          <cell r="F134">
            <v>1</v>
          </cell>
          <cell r="G134">
            <v>1</v>
          </cell>
          <cell r="H134" t="b">
            <v>0</v>
          </cell>
          <cell r="I134" t="b">
            <v>0</v>
          </cell>
          <cell r="J134">
            <v>4.0095824601377031E-4</v>
          </cell>
        </row>
        <row r="135">
          <cell r="D135" t="str">
            <v>ETA - Sanharó</v>
          </cell>
          <cell r="E135">
            <v>0</v>
          </cell>
          <cell r="F135">
            <v>0</v>
          </cell>
          <cell r="G135">
            <v>1</v>
          </cell>
          <cell r="H135" t="b">
            <v>1</v>
          </cell>
          <cell r="I135" t="b">
            <v>0</v>
          </cell>
          <cell r="J135">
            <v>5.2854042555524521E-4</v>
          </cell>
        </row>
        <row r="136">
          <cell r="D136" t="str">
            <v>ETA - SANTA CRUZ</v>
          </cell>
          <cell r="E136">
            <v>0</v>
          </cell>
          <cell r="F136">
            <v>0</v>
          </cell>
          <cell r="G136">
            <v>0</v>
          </cell>
          <cell r="H136" t="b">
            <v>1</v>
          </cell>
          <cell r="I136" t="b">
            <v>1</v>
          </cell>
          <cell r="J136">
            <v>3.9391097769731533E-4</v>
          </cell>
        </row>
        <row r="137">
          <cell r="D137" t="str">
            <v>ETA - Santa Maria da Boa Vista</v>
          </cell>
          <cell r="E137">
            <v>0</v>
          </cell>
          <cell r="F137">
            <v>0</v>
          </cell>
          <cell r="G137">
            <v>1</v>
          </cell>
          <cell r="H137" t="b">
            <v>1</v>
          </cell>
          <cell r="I137" t="b">
            <v>0</v>
          </cell>
          <cell r="J137">
            <v>2.9103965299258328E-3</v>
          </cell>
        </row>
        <row r="138">
          <cell r="D138" t="str">
            <v>ETA - SANTA TEREZINHA</v>
          </cell>
          <cell r="E138">
            <v>0</v>
          </cell>
          <cell r="F138">
            <v>0</v>
          </cell>
          <cell r="G138">
            <v>1</v>
          </cell>
          <cell r="H138" t="b">
            <v>1</v>
          </cell>
          <cell r="I138" t="b">
            <v>0</v>
          </cell>
          <cell r="J138">
            <v>3.5153340422103274E-4</v>
          </cell>
        </row>
        <row r="139">
          <cell r="D139" t="str">
            <v>ETA - Santo Amaro do Sirinhaém</v>
          </cell>
          <cell r="E139">
            <v>1</v>
          </cell>
          <cell r="F139">
            <v>0</v>
          </cell>
          <cell r="G139">
            <v>0</v>
          </cell>
          <cell r="H139" t="b">
            <v>0</v>
          </cell>
          <cell r="I139" t="b">
            <v>1</v>
          </cell>
          <cell r="J139">
            <v>9.0350677995830366E-4</v>
          </cell>
        </row>
        <row r="140">
          <cell r="D140" t="str">
            <v>ETA - JENIPAPO - RAP MUTUCA</v>
          </cell>
          <cell r="E140">
            <v>1</v>
          </cell>
          <cell r="F140">
            <v>1</v>
          </cell>
          <cell r="G140">
            <v>1</v>
          </cell>
          <cell r="H140" t="b">
            <v>0</v>
          </cell>
          <cell r="I140" t="b">
            <v>0</v>
          </cell>
          <cell r="J140">
            <v>3.8576746764274513E-4</v>
          </cell>
        </row>
        <row r="141">
          <cell r="D141" t="str">
            <v>ETA - Serra dos Ventos</v>
          </cell>
          <cell r="E141">
            <v>1</v>
          </cell>
          <cell r="F141">
            <v>2</v>
          </cell>
          <cell r="G141">
            <v>1</v>
          </cell>
          <cell r="H141" t="b">
            <v>0</v>
          </cell>
          <cell r="I141" t="b">
            <v>0</v>
          </cell>
          <cell r="J141">
            <v>3.8562652227641604E-4</v>
          </cell>
        </row>
        <row r="142">
          <cell r="D142" t="str">
            <v>ETA - TRIUNFO</v>
          </cell>
          <cell r="E142">
            <v>1</v>
          </cell>
          <cell r="F142">
            <v>1</v>
          </cell>
          <cell r="G142">
            <v>0</v>
          </cell>
          <cell r="H142" t="b">
            <v>0</v>
          </cell>
          <cell r="I142" t="b">
            <v>0</v>
          </cell>
          <cell r="J142">
            <v>3.7810458128735715E-4</v>
          </cell>
        </row>
        <row r="143">
          <cell r="D143" t="str">
            <v>ETA - BELÉM DE MARIA</v>
          </cell>
          <cell r="E143">
            <v>1</v>
          </cell>
          <cell r="F143">
            <v>1</v>
          </cell>
          <cell r="G143">
            <v>1</v>
          </cell>
          <cell r="H143" t="b">
            <v>0</v>
          </cell>
          <cell r="I143" t="b">
            <v>0</v>
          </cell>
          <cell r="J143">
            <v>3.5604992018206747E-4</v>
          </cell>
        </row>
        <row r="144">
          <cell r="D144" t="str">
            <v>ETA - São José (B Madre de Deus)</v>
          </cell>
          <cell r="E144">
            <v>2</v>
          </cell>
          <cell r="F144">
            <v>0</v>
          </cell>
          <cell r="G144">
            <v>0</v>
          </cell>
          <cell r="H144" t="b">
            <v>0</v>
          </cell>
          <cell r="I144" t="b">
            <v>1</v>
          </cell>
          <cell r="J144">
            <v>8.3117048583895815E-4</v>
          </cell>
        </row>
        <row r="145">
          <cell r="D145" t="str">
            <v>ETA - São José da Coroa Grande</v>
          </cell>
          <cell r="E145">
            <v>1</v>
          </cell>
          <cell r="F145">
            <v>0</v>
          </cell>
          <cell r="G145">
            <v>0</v>
          </cell>
          <cell r="H145" t="b">
            <v>0</v>
          </cell>
          <cell r="I145" t="b">
            <v>1</v>
          </cell>
          <cell r="J145">
            <v>3.0943145723890488E-3</v>
          </cell>
        </row>
        <row r="146">
          <cell r="D146" t="str">
            <v>ETA - SÃO BENEDITO DO SUL</v>
          </cell>
          <cell r="E146">
            <v>1</v>
          </cell>
          <cell r="F146">
            <v>0</v>
          </cell>
          <cell r="G146">
            <v>1</v>
          </cell>
          <cell r="H146" t="b">
            <v>0</v>
          </cell>
          <cell r="I146" t="b">
            <v>0</v>
          </cell>
          <cell r="J146">
            <v>3.2007157954905117E-4</v>
          </cell>
        </row>
        <row r="147">
          <cell r="D147" t="str">
            <v>ETA - São Vicente Férrer</v>
          </cell>
          <cell r="E147">
            <v>1</v>
          </cell>
          <cell r="F147">
            <v>0</v>
          </cell>
          <cell r="G147">
            <v>0</v>
          </cell>
          <cell r="H147" t="b">
            <v>0</v>
          </cell>
          <cell r="I147" t="b">
            <v>1</v>
          </cell>
          <cell r="J147">
            <v>5.435636355463013E-4</v>
          </cell>
        </row>
        <row r="148">
          <cell r="D148" t="str">
            <v>ETA - Umãs</v>
          </cell>
          <cell r="E148">
            <v>1</v>
          </cell>
          <cell r="F148">
            <v>0</v>
          </cell>
          <cell r="G148">
            <v>1</v>
          </cell>
          <cell r="H148" t="b">
            <v>0</v>
          </cell>
          <cell r="I148" t="b">
            <v>0</v>
          </cell>
          <cell r="J148">
            <v>2.9897644317653747E-4</v>
          </cell>
        </row>
        <row r="149">
          <cell r="D149" t="str">
            <v>ETA - SERRA TALHADA</v>
          </cell>
          <cell r="E149">
            <v>0</v>
          </cell>
          <cell r="F149">
            <v>0</v>
          </cell>
          <cell r="G149">
            <v>3</v>
          </cell>
          <cell r="H149" t="b">
            <v>1</v>
          </cell>
          <cell r="I149" t="b">
            <v>0</v>
          </cell>
          <cell r="J149">
            <v>7.252940649787233E-3</v>
          </cell>
        </row>
        <row r="150">
          <cell r="D150" t="str">
            <v>ETA - Serrita</v>
          </cell>
          <cell r="E150">
            <v>0</v>
          </cell>
          <cell r="F150">
            <v>0</v>
          </cell>
          <cell r="G150">
            <v>1</v>
          </cell>
          <cell r="H150" t="b">
            <v>1</v>
          </cell>
          <cell r="I150" t="b">
            <v>0</v>
          </cell>
          <cell r="J150">
            <v>8.0465709637282863E-4</v>
          </cell>
        </row>
        <row r="151">
          <cell r="D151" t="str">
            <v>ETA - MOREILANDIA</v>
          </cell>
          <cell r="E151">
            <v>1</v>
          </cell>
          <cell r="F151">
            <v>1</v>
          </cell>
          <cell r="G151">
            <v>1</v>
          </cell>
          <cell r="H151" t="b">
            <v>0</v>
          </cell>
          <cell r="I151" t="b">
            <v>0</v>
          </cell>
          <cell r="J151">
            <v>2.7988617633707387E-4</v>
          </cell>
        </row>
        <row r="152">
          <cell r="D152" t="str">
            <v>ETA - SERROTE DO URUBU</v>
          </cell>
          <cell r="E152">
            <v>0</v>
          </cell>
          <cell r="F152">
            <v>1</v>
          </cell>
          <cell r="G152">
            <v>0</v>
          </cell>
          <cell r="H152" t="b">
            <v>0</v>
          </cell>
          <cell r="I152" t="b">
            <v>0</v>
          </cell>
          <cell r="J152">
            <v>2.7247871430666676E-4</v>
          </cell>
        </row>
        <row r="153">
          <cell r="D153" t="str">
            <v>ETA - Sirinhaém</v>
          </cell>
          <cell r="E153">
            <v>2</v>
          </cell>
          <cell r="F153">
            <v>0</v>
          </cell>
          <cell r="G153">
            <v>0</v>
          </cell>
          <cell r="H153" t="b">
            <v>0</v>
          </cell>
          <cell r="I153" t="b">
            <v>1</v>
          </cell>
          <cell r="J153">
            <v>2.1510925203184566E-3</v>
          </cell>
        </row>
        <row r="154">
          <cell r="D154" t="str">
            <v>ETA - Poço Comprido</v>
          </cell>
          <cell r="E154">
            <v>1</v>
          </cell>
          <cell r="F154">
            <v>0</v>
          </cell>
          <cell r="G154">
            <v>1</v>
          </cell>
          <cell r="H154" t="b">
            <v>0</v>
          </cell>
          <cell r="I154" t="b">
            <v>0</v>
          </cell>
          <cell r="J154">
            <v>2.3900105768425388E-4</v>
          </cell>
        </row>
        <row r="155">
          <cell r="D155" t="str">
            <v>ETA - SUAPE</v>
          </cell>
          <cell r="E155">
            <v>0</v>
          </cell>
          <cell r="F155">
            <v>0</v>
          </cell>
          <cell r="G155">
            <v>0</v>
          </cell>
          <cell r="H155" t="b">
            <v>1</v>
          </cell>
          <cell r="I155" t="b">
            <v>1</v>
          </cell>
          <cell r="J155">
            <v>1.654742450373152E-2</v>
          </cell>
        </row>
        <row r="156">
          <cell r="D156" t="str">
            <v>ETA - Brejão</v>
          </cell>
          <cell r="E156">
            <v>2</v>
          </cell>
          <cell r="F156">
            <v>0</v>
          </cell>
          <cell r="G156">
            <v>2</v>
          </cell>
          <cell r="H156" t="b">
            <v>0</v>
          </cell>
          <cell r="I156" t="b">
            <v>0</v>
          </cell>
          <cell r="J156">
            <v>2.3292004815696619E-4</v>
          </cell>
        </row>
        <row r="157">
          <cell r="D157" t="str">
            <v>ETA - Tamandaré/ETA Velha</v>
          </cell>
          <cell r="E157">
            <v>1</v>
          </cell>
          <cell r="F157">
            <v>0</v>
          </cell>
          <cell r="G157">
            <v>0</v>
          </cell>
          <cell r="H157" t="b">
            <v>0</v>
          </cell>
          <cell r="I157" t="b">
            <v>1</v>
          </cell>
          <cell r="J157">
            <v>5.9478944590879955E-4</v>
          </cell>
        </row>
        <row r="158">
          <cell r="D158" t="str">
            <v>ETA - BARRA DO RIACHÃO</v>
          </cell>
          <cell r="E158">
            <v>0</v>
          </cell>
          <cell r="F158">
            <v>1</v>
          </cell>
          <cell r="G158">
            <v>1</v>
          </cell>
          <cell r="H158" t="b">
            <v>0</v>
          </cell>
          <cell r="I158" t="b">
            <v>0</v>
          </cell>
          <cell r="J158">
            <v>2.2320938223477902E-4</v>
          </cell>
        </row>
        <row r="159">
          <cell r="D159" t="str">
            <v>ETA - Terra Nova</v>
          </cell>
          <cell r="E159">
            <v>0</v>
          </cell>
          <cell r="F159">
            <v>0</v>
          </cell>
          <cell r="G159">
            <v>0</v>
          </cell>
          <cell r="H159" t="b">
            <v>1</v>
          </cell>
          <cell r="I159" t="b">
            <v>1</v>
          </cell>
          <cell r="J159">
            <v>5.3824999523569429E-4</v>
          </cell>
        </row>
        <row r="160">
          <cell r="D160" t="str">
            <v>ETA - Terezinha</v>
          </cell>
          <cell r="E160">
            <v>1</v>
          </cell>
          <cell r="F160">
            <v>0</v>
          </cell>
          <cell r="G160">
            <v>1</v>
          </cell>
          <cell r="H160" t="b">
            <v>0</v>
          </cell>
          <cell r="I160" t="b">
            <v>0</v>
          </cell>
          <cell r="J160">
            <v>2.1882551152405626E-4</v>
          </cell>
        </row>
        <row r="161">
          <cell r="D161" t="str">
            <v>ETA - Trindade</v>
          </cell>
          <cell r="E161">
            <v>0</v>
          </cell>
          <cell r="F161">
            <v>0</v>
          </cell>
          <cell r="G161">
            <v>0</v>
          </cell>
          <cell r="H161" t="b">
            <v>1</v>
          </cell>
          <cell r="I161" t="b">
            <v>1</v>
          </cell>
          <cell r="J161">
            <v>1.3952651630805316E-3</v>
          </cell>
        </row>
        <row r="162">
          <cell r="D162" t="str">
            <v>ETA - INGAZEIRA</v>
          </cell>
          <cell r="E162">
            <v>1</v>
          </cell>
          <cell r="F162">
            <v>0</v>
          </cell>
          <cell r="G162">
            <v>1</v>
          </cell>
          <cell r="H162" t="b">
            <v>0</v>
          </cell>
          <cell r="I162" t="b">
            <v>0</v>
          </cell>
          <cell r="J162">
            <v>2.0559230768537969E-4</v>
          </cell>
        </row>
        <row r="163">
          <cell r="D163" t="str">
            <v>ETA - Poço Fundo II</v>
          </cell>
          <cell r="E163">
            <v>1</v>
          </cell>
          <cell r="F163">
            <v>1</v>
          </cell>
          <cell r="G163">
            <v>1</v>
          </cell>
          <cell r="H163" t="b">
            <v>0</v>
          </cell>
          <cell r="I163" t="b">
            <v>0</v>
          </cell>
          <cell r="J163">
            <v>1.940562426632681E-4</v>
          </cell>
        </row>
        <row r="164">
          <cell r="D164" t="str">
            <v>ETA - Saloá</v>
          </cell>
          <cell r="E164">
            <v>2</v>
          </cell>
          <cell r="F164">
            <v>0</v>
          </cell>
          <cell r="G164">
            <v>1</v>
          </cell>
          <cell r="H164" t="b">
            <v>0</v>
          </cell>
          <cell r="I164" t="b">
            <v>0</v>
          </cell>
          <cell r="J164">
            <v>1.9002567500414361E-4</v>
          </cell>
        </row>
        <row r="165">
          <cell r="D165" t="str">
            <v>ETA - SOLIDÃO</v>
          </cell>
          <cell r="E165">
            <v>1</v>
          </cell>
          <cell r="F165">
            <v>1</v>
          </cell>
          <cell r="G165">
            <v>1</v>
          </cell>
          <cell r="H165" t="b">
            <v>0</v>
          </cell>
          <cell r="I165" t="b">
            <v>0</v>
          </cell>
          <cell r="J165">
            <v>1.8059799605635275E-4</v>
          </cell>
        </row>
        <row r="166">
          <cell r="D166" t="str">
            <v>ETA - VENTUROSA</v>
          </cell>
          <cell r="E166">
            <v>0</v>
          </cell>
          <cell r="F166">
            <v>0</v>
          </cell>
          <cell r="G166">
            <v>1</v>
          </cell>
          <cell r="H166" t="b">
            <v>1</v>
          </cell>
          <cell r="I166" t="b">
            <v>0</v>
          </cell>
          <cell r="J166">
            <v>1.072797825515811E-3</v>
          </cell>
        </row>
        <row r="167">
          <cell r="D167" t="str">
            <v>ETA - Vera Cruz</v>
          </cell>
          <cell r="E167">
            <v>1</v>
          </cell>
          <cell r="F167">
            <v>0</v>
          </cell>
          <cell r="G167">
            <v>0</v>
          </cell>
          <cell r="H167" t="b">
            <v>0</v>
          </cell>
          <cell r="I167" t="b">
            <v>1</v>
          </cell>
          <cell r="J167">
            <v>3.7090274288582793E-4</v>
          </cell>
        </row>
        <row r="168">
          <cell r="D168" t="str">
            <v>ETA - Jupi</v>
          </cell>
          <cell r="E168">
            <v>1</v>
          </cell>
          <cell r="F168">
            <v>0</v>
          </cell>
          <cell r="G168">
            <v>1</v>
          </cell>
          <cell r="H168" t="b">
            <v>0</v>
          </cell>
          <cell r="I168" t="b">
            <v>0</v>
          </cell>
          <cell r="J168">
            <v>1.7403620622392021E-4</v>
          </cell>
        </row>
        <row r="169">
          <cell r="D169" t="str">
            <v>ETA - NASCENTE</v>
          </cell>
          <cell r="E169">
            <v>1</v>
          </cell>
          <cell r="F169">
            <v>0</v>
          </cell>
          <cell r="G169">
            <v>1</v>
          </cell>
          <cell r="H169" t="b">
            <v>0</v>
          </cell>
          <cell r="I169" t="b">
            <v>0</v>
          </cell>
          <cell r="J169">
            <v>3.8838278721796289E-6</v>
          </cell>
        </row>
        <row r="170">
          <cell r="D170" t="str">
            <v>ETA - Manoel Longo</v>
          </cell>
          <cell r="E170">
            <v>0</v>
          </cell>
          <cell r="F170">
            <v>1</v>
          </cell>
          <cell r="G170">
            <v>0</v>
          </cell>
          <cell r="H170" t="b">
            <v>0</v>
          </cell>
          <cell r="I170" t="b">
            <v>0</v>
          </cell>
          <cell r="J170">
            <v>0</v>
          </cell>
        </row>
        <row r="171">
          <cell r="D171" t="str">
            <v>ETA - Mateus Viera</v>
          </cell>
          <cell r="E171">
            <v>1</v>
          </cell>
          <cell r="F171">
            <v>1</v>
          </cell>
          <cell r="G171">
            <v>1</v>
          </cell>
          <cell r="H171" t="b">
            <v>0</v>
          </cell>
          <cell r="I171" t="b">
            <v>0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id="1" name="Tabela3" displayName="Tabela3" ref="A1:AA281" totalsRowCount="1" headerRowDxfId="48" dataDxfId="47">
  <autoFilter ref="A1:AA280"/>
  <tableColumns count="27">
    <tableColumn id="1" name="ITEM" totalsRowLabel="Total" dataDxfId="45" totalsRowDxfId="46"/>
    <tableColumn id="10" name="Lotes" dataDxfId="43" totalsRowDxfId="44">
      <calculatedColumnFormula>VLOOKUP(Tabela3[[#This Row],[COORDENAÇÃO]],[1]Mun!$D$1:$F$137,3,FALSE)</calculatedColumnFormula>
    </tableColumn>
    <tableColumn id="2" name="Nova GERÊNCIA" dataDxfId="41" totalsRowDxfId="42"/>
    <tableColumn id="23" name="COORDENAÇÃO" dataDxfId="39" totalsRowDxfId="40"/>
    <tableColumn id="9" name="MUNICÍPIO" dataDxfId="37" totalsRowDxfId="38"/>
    <tableColumn id="3" name="SISTEMA" totalsRowFunction="count" dataDxfId="35" totalsRowDxfId="36"/>
    <tableColumn id="17" name="Manancial" dataDxfId="33" totalsRowDxfId="34"/>
    <tableColumn id="7" name="UNIDADE" dataDxfId="31" totalsRowDxfId="32"/>
    <tableColumn id="25" name="Latitude[°]" dataDxfId="29" totalsRowDxfId="30"/>
    <tableColumn id="24" name="Longitude[°]" dataDxfId="27" totalsRowDxfId="28"/>
    <tableColumn id="4" name="QUANT." totalsRowFunction="sum" dataDxfId="25" totalsRowDxfId="26"/>
    <tableColumn id="5" name="DN [mm]" dataDxfId="23" totalsRowDxfId="24" dataCellStyle="Vírgula"/>
    <tableColumn id="22" name="CLASSE DE PRESSÃO" dataDxfId="21" totalsRowDxfId="22" dataCellStyle="Vírgula"/>
    <tableColumn id="6" name="MACROMEDIÇÃO" totalsRowFunction="custom" dataDxfId="19" totalsRowDxfId="20">
      <totalsRowFormula>COUNTIF(Tabela3[MACROMEDIÇÃO],"NÃO")</totalsRowFormula>
    </tableColumn>
    <tableColumn id="15" name="TECNOLOGIA/TIPO" totalsRowFunction="custom" dataDxfId="17" totalsRowDxfId="18">
      <totalsRowFormula>SUMIF(N2:N280,"NÃO",Y2:Y280)</totalsRowFormula>
    </tableColumn>
    <tableColumn id="21" name="SITUAÇÃO" dataDxfId="15" totalsRowDxfId="16"/>
    <tableColumn id="11" name="Necessita Cavalete?" dataDxfId="13" totalsRowDxfId="14"/>
    <tableColumn id="27" name="SITUAÇÃO DA CAIXA" dataDxfId="11" totalsRowDxfId="12"/>
    <tableColumn id="26" name="SITUAÇÃO DO ABRIGO" dataDxfId="9" totalsRowDxfId="10"/>
    <tableColumn id="8" name="OBSERVAÇÃO" dataDxfId="8"/>
    <tableColumn id="12" name="KM" totalsRowLabel="50 Maiores Medidos" dataDxfId="6" totalsRowDxfId="7"/>
    <tableColumn id="14" name="50 Maiores" dataDxfId="5"/>
    <tableColumn id="19" name="P 26" dataDxfId="4"/>
    <tableColumn id="13" name="Controla pela ANA?" dataDxfId="3"/>
    <tableColumn id="16" name="Percentual" dataDxfId="2" dataCellStyle="Porcentagem">
      <calculatedColumnFormula>VLOOKUP(Tabela3[[#This Row],[SISTEMA]],'[1]Resultado Geral'!$D$2:$J$171,7,0)</calculatedColumnFormula>
    </tableColumn>
    <tableColumn id="18" name="Coordenadas" dataDxfId="1"/>
    <tableColumn id="20" name="MEDIDORES INOPERANTES - DETALHAMENT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A287"/>
  <sheetViews>
    <sheetView showGridLines="0" tabSelected="1" zoomScaleNormal="100" workbookViewId="0">
      <selection activeCell="A2" sqref="A2:XFD2"/>
    </sheetView>
  </sheetViews>
  <sheetFormatPr defaultColWidth="9.36328125" defaultRowHeight="14.5"/>
  <cols>
    <col min="1" max="1" width="10.08984375" style="2" bestFit="1" customWidth="1"/>
    <col min="2" max="2" width="13.90625" style="2" bestFit="1" customWidth="1"/>
    <col min="3" max="3" width="22.453125" style="5" bestFit="1" customWidth="1"/>
    <col min="4" max="4" width="25.36328125" style="5" bestFit="1" customWidth="1"/>
    <col min="5" max="5" width="24" style="2" bestFit="1" customWidth="1"/>
    <col min="6" max="6" width="39.26953125" style="2" bestFit="1" customWidth="1"/>
    <col min="7" max="7" width="25.26953125" style="2" customWidth="1"/>
    <col min="8" max="8" width="54.81640625" style="8" bestFit="1" customWidth="1"/>
    <col min="9" max="10" width="29" style="5" bestFit="1" customWidth="1"/>
    <col min="11" max="11" width="12.90625" style="5" bestFit="1" customWidth="1"/>
    <col min="12" max="12" width="15.453125" style="2" bestFit="1" customWidth="1"/>
    <col min="13" max="13" width="26.36328125" style="2" bestFit="1" customWidth="1"/>
    <col min="14" max="14" width="21.36328125" style="49" bestFit="1" customWidth="1"/>
    <col min="15" max="15" width="31" style="5" bestFit="1" customWidth="1"/>
    <col min="16" max="16" width="15.26953125" style="5" bestFit="1" customWidth="1"/>
    <col min="17" max="17" width="24.6328125" style="5" bestFit="1" customWidth="1"/>
    <col min="18" max="18" width="24.6328125" style="5" customWidth="1"/>
    <col min="19" max="19" width="31.36328125" style="5" bestFit="1" customWidth="1"/>
    <col min="20" max="20" width="64.36328125" style="5" customWidth="1"/>
    <col min="21" max="21" width="19" bestFit="1" customWidth="1"/>
    <col min="22" max="22" width="27.453125" style="5" bestFit="1" customWidth="1"/>
    <col min="23" max="23" width="9.6328125" style="5" bestFit="1" customWidth="1"/>
    <col min="24" max="24" width="23.36328125" style="5" bestFit="1" customWidth="1"/>
    <col min="25" max="25" width="15.7265625" style="5" bestFit="1" customWidth="1"/>
    <col min="26" max="26" width="26.36328125" style="5" bestFit="1" customWidth="1"/>
    <col min="27" max="27" width="60" style="5" bestFit="1" customWidth="1"/>
    <col min="28" max="28" width="65.1796875" style="5" bestFit="1" customWidth="1"/>
    <col min="29" max="29" width="60" style="5" bestFit="1" customWidth="1"/>
    <col min="30" max="16384" width="9.36328125" style="5"/>
  </cols>
  <sheetData>
    <row r="1" spans="1:2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4.5" customHeight="1">
      <c r="A2" s="2">
        <v>75</v>
      </c>
      <c r="B2" s="2" t="str">
        <f>VLOOKUP(Tabela3[[#This Row],[COORDENAÇÃO]],[1]Mun!$D$1:$F$137,3,FALSE)</f>
        <v>Lote 2</v>
      </c>
      <c r="C2" s="5" t="str">
        <f>VLOOKUP(Tabela3[[#This Row],[COORDENAÇÃO]],[1]Mun!$D$1:$E$137,2,FALSE)</f>
        <v>GPR Agreste</v>
      </c>
      <c r="D2" s="5" t="s">
        <v>27</v>
      </c>
      <c r="E2" s="5" t="s">
        <v>28</v>
      </c>
      <c r="F2" s="6" t="s">
        <v>29</v>
      </c>
      <c r="G2" s="5" t="s">
        <v>30</v>
      </c>
      <c r="H2" s="5" t="s">
        <v>31</v>
      </c>
      <c r="I2" s="7">
        <v>-8.3114629999999998</v>
      </c>
      <c r="J2" s="7">
        <v>-36.425989000000001</v>
      </c>
      <c r="K2" s="2">
        <v>1</v>
      </c>
      <c r="L2" s="8">
        <v>300</v>
      </c>
      <c r="M2" s="8"/>
      <c r="N2" s="2" t="s">
        <v>32</v>
      </c>
      <c r="O2" s="2"/>
      <c r="P2" s="2"/>
      <c r="Q2" s="2"/>
      <c r="R2" s="2"/>
      <c r="S2" s="2"/>
      <c r="U2" s="9">
        <v>55.7</v>
      </c>
      <c r="V2" s="5" t="s">
        <v>33</v>
      </c>
      <c r="W2" s="5" t="s">
        <v>32</v>
      </c>
      <c r="X2" s="5" t="s">
        <v>32</v>
      </c>
      <c r="Y2" s="10">
        <f>VLOOKUP(Tabela3[[#This Row],[SISTEMA]],'[1]Resultado Geral'!$D$2:$J$171,7,0)</f>
        <v>0</v>
      </c>
    </row>
    <row r="3" spans="1:27" ht="14.5" customHeight="1">
      <c r="A3" s="2">
        <v>205</v>
      </c>
      <c r="B3" s="2" t="str">
        <f>VLOOKUP(Tabela3[[#This Row],[COORDENAÇÃO]],[1]Mun!$D$1:$F$137,3,FALSE)</f>
        <v>Lote 3</v>
      </c>
      <c r="C3" s="5" t="str">
        <f>VLOOKUP(Tabela3[[#This Row],[COORDENAÇÃO]],[1]Mun!$D$1:$E$137,2,FALSE)</f>
        <v>GPR SERTAO</v>
      </c>
      <c r="D3" s="5" t="s">
        <v>34</v>
      </c>
      <c r="E3" s="5" t="s">
        <v>35</v>
      </c>
      <c r="F3" s="6" t="s">
        <v>36</v>
      </c>
      <c r="G3" s="5" t="s">
        <v>37</v>
      </c>
      <c r="H3" s="5" t="s">
        <v>38</v>
      </c>
      <c r="I3" s="7">
        <v>-8.0621170000000006</v>
      </c>
      <c r="J3" s="7">
        <v>-37.354404000000002</v>
      </c>
      <c r="K3" s="2" t="s">
        <v>39</v>
      </c>
      <c r="L3" s="8" t="s">
        <v>39</v>
      </c>
      <c r="M3" s="8"/>
      <c r="N3" s="2" t="s">
        <v>39</v>
      </c>
      <c r="O3" s="2"/>
      <c r="P3" s="2"/>
      <c r="Q3" s="2"/>
      <c r="R3" s="2"/>
      <c r="S3" s="2"/>
      <c r="U3" s="9">
        <v>201.8</v>
      </c>
      <c r="X3" s="5" t="s">
        <v>32</v>
      </c>
      <c r="Y3" s="10">
        <f>VLOOKUP(Tabela3[[#This Row],[SISTEMA]],'[1]Resultado Geral'!$D$2:$J$171,7,0)</f>
        <v>4.4433809765061536E-4</v>
      </c>
    </row>
    <row r="4" spans="1:27" ht="14.5" customHeight="1">
      <c r="A4" s="2">
        <v>80</v>
      </c>
      <c r="B4" s="2" t="str">
        <f>VLOOKUP(Tabela3[[#This Row],[COORDENAÇÃO]],[1]Mun!$D$1:$F$137,3,FALSE)</f>
        <v>Lote 1</v>
      </c>
      <c r="C4" s="5" t="str">
        <f>VLOOKUP(Tabela3[[#This Row],[COORDENAÇÃO]],[1]Mun!$D$1:$E$137,2,FALSE)</f>
        <v>GPM</v>
      </c>
      <c r="D4" s="5" t="s">
        <v>40</v>
      </c>
      <c r="E4" s="5" t="s">
        <v>41</v>
      </c>
      <c r="F4" s="6" t="s">
        <v>42</v>
      </c>
      <c r="G4" s="5"/>
      <c r="H4" s="5" t="s">
        <v>43</v>
      </c>
      <c r="I4" s="7"/>
      <c r="J4" s="7"/>
      <c r="K4" s="2">
        <v>1</v>
      </c>
      <c r="L4" s="8">
        <v>150</v>
      </c>
      <c r="M4" s="8"/>
      <c r="N4" s="11" t="s">
        <v>44</v>
      </c>
      <c r="O4" s="2"/>
      <c r="P4" s="2"/>
      <c r="Q4" s="2" t="s">
        <v>44</v>
      </c>
      <c r="R4" s="2"/>
      <c r="S4" s="2"/>
      <c r="U4" s="9">
        <v>150.4</v>
      </c>
      <c r="V4" s="5" t="s">
        <v>33</v>
      </c>
      <c r="X4" s="5" t="s">
        <v>44</v>
      </c>
      <c r="Y4" s="10">
        <f>VLOOKUP(Tabela3[[#This Row],[SISTEMA]],'[1]Resultado Geral'!$D$2:$J$171,7,0)</f>
        <v>2.1510925203184566E-3</v>
      </c>
    </row>
    <row r="5" spans="1:27" ht="14.5" customHeight="1">
      <c r="A5" s="2">
        <v>266</v>
      </c>
      <c r="B5" s="2" t="str">
        <f>VLOOKUP(Tabela3[[#This Row],[COORDENAÇÃO]],[1]Mun!$D$1:$F$137,3,FALSE)</f>
        <v>Lote 3</v>
      </c>
      <c r="C5" s="5" t="str">
        <f>VLOOKUP(Tabela3[[#This Row],[COORDENAÇÃO]],[1]Mun!$D$1:$E$137,2,FALSE)</f>
        <v>GPR SERTAO</v>
      </c>
      <c r="D5" s="5" t="s">
        <v>45</v>
      </c>
      <c r="E5" s="5" t="s">
        <v>46</v>
      </c>
      <c r="F5" s="12" t="s">
        <v>47</v>
      </c>
      <c r="G5" s="5" t="s">
        <v>37</v>
      </c>
      <c r="H5" s="5" t="s">
        <v>48</v>
      </c>
      <c r="I5" s="7">
        <v>-8.517358333333334</v>
      </c>
      <c r="J5" s="7">
        <v>-39.320569444444445</v>
      </c>
      <c r="K5" s="2"/>
      <c r="L5" s="13"/>
      <c r="M5" s="13"/>
      <c r="N5" s="14"/>
      <c r="O5" s="15"/>
      <c r="P5" s="16"/>
      <c r="Q5" s="16"/>
      <c r="R5" s="16"/>
      <c r="S5" s="16"/>
      <c r="U5" s="9">
        <v>42.1</v>
      </c>
      <c r="X5" s="5" t="s">
        <v>32</v>
      </c>
      <c r="Y5" s="10" t="e">
        <f>VLOOKUP(Tabela3[[#This Row],[SISTEMA]],'[1]Resultado Geral'!$D$2:$J$171,7,0)</f>
        <v>#N/A</v>
      </c>
    </row>
    <row r="6" spans="1:27" ht="14.5" customHeight="1">
      <c r="A6" s="2">
        <v>81</v>
      </c>
      <c r="B6" s="2" t="str">
        <f>VLOOKUP(Tabela3[[#This Row],[COORDENAÇÃO]],[1]Mun!$D$1:$F$137,3,FALSE)</f>
        <v>Lote 3</v>
      </c>
      <c r="C6" s="5" t="str">
        <f>VLOOKUP(Tabela3[[#This Row],[COORDENAÇÃO]],[1]Mun!$D$1:$E$137,2,FALSE)</f>
        <v>GPR SERTAO</v>
      </c>
      <c r="D6" s="5" t="s">
        <v>45</v>
      </c>
      <c r="E6" s="5" t="s">
        <v>49</v>
      </c>
      <c r="F6" s="6" t="s">
        <v>50</v>
      </c>
      <c r="G6" s="5" t="s">
        <v>37</v>
      </c>
      <c r="H6" s="5" t="s">
        <v>51</v>
      </c>
      <c r="I6" s="7">
        <v>-8.5175388888888897</v>
      </c>
      <c r="J6" s="7">
        <v>-39.320491666666669</v>
      </c>
      <c r="K6" s="2">
        <v>1</v>
      </c>
      <c r="L6" s="8">
        <v>400</v>
      </c>
      <c r="M6" s="8" t="s">
        <v>52</v>
      </c>
      <c r="N6" s="11" t="s">
        <v>44</v>
      </c>
      <c r="O6" s="2"/>
      <c r="P6" s="2"/>
      <c r="Q6" s="2" t="s">
        <v>44</v>
      </c>
      <c r="R6" s="2"/>
      <c r="S6" s="2"/>
      <c r="U6" s="9">
        <v>69.2</v>
      </c>
      <c r="V6" s="5" t="s">
        <v>33</v>
      </c>
      <c r="W6" s="5" t="s">
        <v>32</v>
      </c>
      <c r="X6" s="5" t="s">
        <v>32</v>
      </c>
      <c r="Y6" s="10">
        <f>VLOOKUP(Tabela3[[#This Row],[SISTEMA]],'[1]Resultado Geral'!$D$2:$J$171,7,0)</f>
        <v>3.2762123979348809E-3</v>
      </c>
    </row>
    <row r="7" spans="1:27" ht="14.5" customHeight="1">
      <c r="A7" s="2">
        <v>36</v>
      </c>
      <c r="B7" s="2" t="str">
        <f>VLOOKUP(Tabela3[[#This Row],[COORDENAÇÃO]],[1]Mun!$D$1:$F$137,3,FALSE)</f>
        <v>Lote 3</v>
      </c>
      <c r="C7" s="5" t="str">
        <f>VLOOKUP(Tabela3[[#This Row],[COORDENAÇÃO]],[1]Mun!$D$1:$E$137,2,FALSE)</f>
        <v>GPR SERTAO</v>
      </c>
      <c r="D7" s="5" t="s">
        <v>53</v>
      </c>
      <c r="E7" s="5" t="s">
        <v>54</v>
      </c>
      <c r="F7" s="6" t="s">
        <v>55</v>
      </c>
      <c r="G7" s="5" t="s">
        <v>56</v>
      </c>
      <c r="H7" s="5" t="s">
        <v>57</v>
      </c>
      <c r="I7" s="7">
        <v>-8.5593027777777788</v>
      </c>
      <c r="J7" s="7">
        <v>-36.988422222222226</v>
      </c>
      <c r="K7" s="2">
        <v>1</v>
      </c>
      <c r="L7" s="8">
        <v>500</v>
      </c>
      <c r="M7" s="8"/>
      <c r="N7" s="11" t="s">
        <v>44</v>
      </c>
      <c r="O7" s="2"/>
      <c r="P7" s="2"/>
      <c r="Q7" s="2" t="s">
        <v>44</v>
      </c>
      <c r="R7" s="2"/>
      <c r="S7" s="2"/>
      <c r="U7" s="9">
        <v>256</v>
      </c>
      <c r="V7" s="5" t="s">
        <v>33</v>
      </c>
      <c r="W7" s="5" t="s">
        <v>32</v>
      </c>
      <c r="X7" s="5" t="s">
        <v>32</v>
      </c>
      <c r="Y7" s="10">
        <f>VLOOKUP(Tabela3[[#This Row],[SISTEMA]],'[1]Resultado Geral'!$D$2:$J$171,7,0)</f>
        <v>9.7098288633171558E-3</v>
      </c>
    </row>
    <row r="8" spans="1:27" ht="14.5" customHeight="1">
      <c r="A8" s="2">
        <v>187</v>
      </c>
      <c r="B8" s="2" t="str">
        <f>VLOOKUP(Tabela3[[#This Row],[COORDENAÇÃO]],[1]Mun!$D$1:$F$137,3,FALSE)</f>
        <v>Lote 3</v>
      </c>
      <c r="C8" s="5" t="str">
        <f>VLOOKUP(Tabela3[[#This Row],[COORDENAÇÃO]],[1]Mun!$D$1:$E$137,2,FALSE)</f>
        <v>GPR SERTAO</v>
      </c>
      <c r="D8" s="5" t="s">
        <v>45</v>
      </c>
      <c r="E8" s="5" t="s">
        <v>58</v>
      </c>
      <c r="F8" s="6" t="s">
        <v>59</v>
      </c>
      <c r="G8" s="5" t="s">
        <v>37</v>
      </c>
      <c r="H8" s="5" t="s">
        <v>60</v>
      </c>
      <c r="I8" s="7">
        <v>-8.623627777777779</v>
      </c>
      <c r="J8" s="7">
        <v>-39.598447222222227</v>
      </c>
      <c r="K8" s="2">
        <v>1</v>
      </c>
      <c r="L8" s="8">
        <v>150</v>
      </c>
      <c r="M8" s="8" t="s">
        <v>52</v>
      </c>
      <c r="N8" s="14" t="s">
        <v>44</v>
      </c>
      <c r="O8" s="16"/>
      <c r="P8" s="16"/>
      <c r="Q8" s="16"/>
      <c r="R8" s="16"/>
      <c r="S8" s="16"/>
      <c r="U8" s="9">
        <v>107.2</v>
      </c>
      <c r="X8" s="5" t="s">
        <v>32</v>
      </c>
      <c r="Y8" s="10">
        <f>VLOOKUP(Tabela3[[#This Row],[SISTEMA]],'[1]Resultado Geral'!$D$2:$J$171,7,0)</f>
        <v>6.7299846362519104E-4</v>
      </c>
    </row>
    <row r="9" spans="1:27" ht="14.5" customHeight="1">
      <c r="A9" s="2">
        <v>113</v>
      </c>
      <c r="B9" s="2" t="str">
        <f>VLOOKUP(Tabela3[[#This Row],[COORDENAÇÃO]],[1]Mun!$D$1:$F$137,3,FALSE)</f>
        <v>Lote 2</v>
      </c>
      <c r="C9" s="5" t="str">
        <f>VLOOKUP(Tabela3[[#This Row],[COORDENAÇÃO]],[1]Mun!$D$1:$E$137,2,FALSE)</f>
        <v>GPR Agreste</v>
      </c>
      <c r="D9" s="5" t="s">
        <v>61</v>
      </c>
      <c r="E9" s="5" t="s">
        <v>62</v>
      </c>
      <c r="F9" s="6" t="s">
        <v>63</v>
      </c>
      <c r="G9" s="5" t="s">
        <v>64</v>
      </c>
      <c r="H9" s="5" t="s">
        <v>65</v>
      </c>
      <c r="I9" s="7">
        <v>-9.3163444444444448</v>
      </c>
      <c r="J9" s="7">
        <v>-36.64031111111111</v>
      </c>
      <c r="K9" s="2">
        <v>1</v>
      </c>
      <c r="L9" s="8">
        <v>250</v>
      </c>
      <c r="M9" s="8"/>
      <c r="N9" s="2" t="s">
        <v>32</v>
      </c>
      <c r="O9" s="2"/>
      <c r="P9" s="2"/>
      <c r="Q9" s="2"/>
      <c r="R9" s="2"/>
      <c r="S9" s="2"/>
      <c r="U9" s="9">
        <v>391.5</v>
      </c>
      <c r="X9" s="5" t="s">
        <v>32</v>
      </c>
      <c r="Y9" s="10">
        <f>VLOOKUP(Tabela3[[#This Row],[SISTEMA]],'[1]Resultado Geral'!$D$2:$J$171,7,0)</f>
        <v>1.9807611413514784E-3</v>
      </c>
    </row>
    <row r="10" spans="1:27" ht="14.5" customHeight="1">
      <c r="A10" s="2">
        <v>229</v>
      </c>
      <c r="B10" s="2" t="str">
        <f>VLOOKUP(Tabela3[[#This Row],[COORDENAÇÃO]],[1]Mun!$D$1:$F$137,3,FALSE)</f>
        <v>Lote 3</v>
      </c>
      <c r="C10" s="5" t="str">
        <f>VLOOKUP(Tabela3[[#This Row],[COORDENAÇÃO]],[1]Mun!$D$1:$E$137,2,FALSE)</f>
        <v>GPR SERTAO</v>
      </c>
      <c r="D10" s="5" t="s">
        <v>66</v>
      </c>
      <c r="E10" s="5" t="s">
        <v>67</v>
      </c>
      <c r="F10" s="6" t="s">
        <v>68</v>
      </c>
      <c r="G10" s="5" t="s">
        <v>37</v>
      </c>
      <c r="H10" s="5" t="s">
        <v>69</v>
      </c>
      <c r="I10" s="7">
        <v>-9.3548333333333336</v>
      </c>
      <c r="J10" s="7">
        <v>-40.390333333333331</v>
      </c>
      <c r="K10" s="2">
        <v>1</v>
      </c>
      <c r="L10" s="8">
        <v>150</v>
      </c>
      <c r="M10" s="8"/>
      <c r="N10" s="16" t="s">
        <v>32</v>
      </c>
      <c r="O10" s="16" t="s">
        <v>70</v>
      </c>
      <c r="P10" s="16"/>
      <c r="Q10" s="16" t="s">
        <v>44</v>
      </c>
      <c r="R10" s="16" t="s">
        <v>71</v>
      </c>
      <c r="S10" s="16" t="s">
        <v>71</v>
      </c>
      <c r="T10" s="5" t="s">
        <v>72</v>
      </c>
      <c r="U10" s="9">
        <v>230.8</v>
      </c>
      <c r="W10" s="5" t="s">
        <v>32</v>
      </c>
      <c r="X10" s="5" t="s">
        <v>32</v>
      </c>
      <c r="Y10" s="10">
        <f>VLOOKUP(Tabela3[[#This Row],[SISTEMA]],'[1]Resultado Geral'!$D$2:$J$171,7,0)</f>
        <v>2.7247871430666676E-4</v>
      </c>
    </row>
    <row r="11" spans="1:27" ht="14.5" customHeight="1">
      <c r="A11" s="2">
        <v>25</v>
      </c>
      <c r="B11" s="2" t="str">
        <f>VLOOKUP(Tabela3[[#This Row],[COORDENAÇÃO]],[1]Mun!$D$1:$F$137,3,FALSE)</f>
        <v>Lote 3</v>
      </c>
      <c r="C11" s="5" t="str">
        <f>VLOOKUP(Tabela3[[#This Row],[COORDENAÇÃO]],[1]Mun!$D$1:$E$137,2,FALSE)</f>
        <v>GPR SERTAO</v>
      </c>
      <c r="D11" s="5" t="s">
        <v>66</v>
      </c>
      <c r="E11" s="5" t="s">
        <v>67</v>
      </c>
      <c r="F11" s="6" t="s">
        <v>73</v>
      </c>
      <c r="G11" s="5" t="s">
        <v>37</v>
      </c>
      <c r="H11" s="5" t="s">
        <v>74</v>
      </c>
      <c r="I11" s="7">
        <v>-9.4122694444444441</v>
      </c>
      <c r="J11" s="7">
        <v>-40.537166666666664</v>
      </c>
      <c r="K11" s="2">
        <v>1</v>
      </c>
      <c r="L11" s="8">
        <v>400</v>
      </c>
      <c r="M11" s="8"/>
      <c r="N11" s="2" t="s">
        <v>32</v>
      </c>
      <c r="O11" s="16" t="s">
        <v>70</v>
      </c>
      <c r="P11" s="2"/>
      <c r="Q11" s="2" t="s">
        <v>44</v>
      </c>
      <c r="R11" s="2" t="s">
        <v>71</v>
      </c>
      <c r="S11" s="2" t="s">
        <v>75</v>
      </c>
      <c r="T11" s="5" t="s">
        <v>76</v>
      </c>
      <c r="U11" s="9">
        <v>230.8</v>
      </c>
      <c r="V11" s="5" t="s">
        <v>33</v>
      </c>
      <c r="W11" s="5" t="s">
        <v>32</v>
      </c>
      <c r="X11" s="5" t="s">
        <v>32</v>
      </c>
      <c r="Y11" s="10">
        <f>VLOOKUP(Tabela3[[#This Row],[SISTEMA]],'[1]Resultado Geral'!$D$2:$J$171,7,0)</f>
        <v>1.3479560678423565E-2</v>
      </c>
    </row>
    <row r="12" spans="1:27" ht="14.5" customHeight="1">
      <c r="A12" s="2">
        <v>263</v>
      </c>
      <c r="B12" s="2" t="str">
        <f>VLOOKUP(Tabela3[[#This Row],[COORDENAÇÃO]],[1]Mun!$D$1:$F$137,3,FALSE)</f>
        <v>Lote 2</v>
      </c>
      <c r="C12" s="5" t="str">
        <f>VLOOKUP(Tabela3[[#This Row],[COORDENAÇÃO]],[1]Mun!$D$1:$E$137,2,FALSE)</f>
        <v>GPR Agreste</v>
      </c>
      <c r="D12" s="5" t="s">
        <v>77</v>
      </c>
      <c r="E12" s="5" t="s">
        <v>78</v>
      </c>
      <c r="F12" s="17" t="s">
        <v>79</v>
      </c>
      <c r="G12" s="5" t="s">
        <v>80</v>
      </c>
      <c r="H12" s="5" t="s">
        <v>81</v>
      </c>
      <c r="I12" s="7" t="s">
        <v>82</v>
      </c>
      <c r="J12" s="7" t="s">
        <v>83</v>
      </c>
      <c r="K12" s="2"/>
      <c r="L12" s="13"/>
      <c r="M12" s="13"/>
      <c r="N12" s="14"/>
      <c r="O12" s="16"/>
      <c r="P12" s="16"/>
      <c r="Q12" s="16"/>
      <c r="R12" s="16"/>
      <c r="S12" s="16"/>
      <c r="U12" s="9">
        <v>51.1</v>
      </c>
      <c r="X12" s="5" t="s">
        <v>32</v>
      </c>
      <c r="Y12" s="10"/>
    </row>
    <row r="13" spans="1:27">
      <c r="A13" s="2">
        <v>12</v>
      </c>
      <c r="B13" s="2" t="str">
        <f>VLOOKUP(Tabela3[[#This Row],[COORDENAÇÃO]],[1]Mun!$D$1:$F$137,3,FALSE)</f>
        <v>Lote 1</v>
      </c>
      <c r="C13" s="5" t="str">
        <f>VLOOKUP(Tabela3[[#This Row],[COORDENAÇÃO]],[1]Mun!$D$1:$E$137,2,FALSE)</f>
        <v>GPM</v>
      </c>
      <c r="D13" s="5" t="s">
        <v>84</v>
      </c>
      <c r="E13" s="5" t="s">
        <v>85</v>
      </c>
      <c r="F13" s="6" t="s">
        <v>86</v>
      </c>
      <c r="G13" s="5"/>
      <c r="H13" s="5" t="s">
        <v>87</v>
      </c>
      <c r="I13" s="7">
        <v>-7.8618399999999999</v>
      </c>
      <c r="J13" s="7">
        <v>-34.917789999999997</v>
      </c>
      <c r="K13" s="2">
        <v>1</v>
      </c>
      <c r="L13" s="8">
        <v>1000</v>
      </c>
      <c r="M13" s="8"/>
      <c r="N13" s="2" t="s">
        <v>32</v>
      </c>
      <c r="O13" s="2" t="s">
        <v>88</v>
      </c>
      <c r="P13" s="2"/>
      <c r="Q13" s="2"/>
      <c r="R13" s="2"/>
      <c r="S13" s="2"/>
      <c r="U13" s="9">
        <v>0</v>
      </c>
      <c r="V13" s="5" t="s">
        <v>33</v>
      </c>
      <c r="X13" s="5" t="s">
        <v>44</v>
      </c>
      <c r="Y13" s="10">
        <f>VLOOKUP(Tabela3[[#This Row],[SISTEMA]],'[1]Resultado Geral'!$D$2:$J$171,7,0)</f>
        <v>3.7092027648939929E-2</v>
      </c>
    </row>
    <row r="14" spans="1:27">
      <c r="A14" s="2">
        <v>205</v>
      </c>
      <c r="B14" s="2" t="str">
        <f>VLOOKUP(Tabela3[[#This Row],[COORDENAÇÃO]],[1]Mun!$D$1:$F$137,3,FALSE)</f>
        <v>Lote 3</v>
      </c>
      <c r="C14" s="5" t="str">
        <f>VLOOKUP(Tabela3[[#This Row],[COORDENAÇÃO]],[1]Mun!$D$1:$E$137,2,FALSE)</f>
        <v>GPR SERTAO</v>
      </c>
      <c r="D14" s="5" t="s">
        <v>34</v>
      </c>
      <c r="E14" s="5" t="s">
        <v>35</v>
      </c>
      <c r="F14" s="6" t="s">
        <v>36</v>
      </c>
      <c r="G14" s="5" t="s">
        <v>89</v>
      </c>
      <c r="H14" s="5" t="s">
        <v>90</v>
      </c>
      <c r="I14" s="7">
        <v>-7.7744527777777774</v>
      </c>
      <c r="J14" s="7">
        <v>-37.473238888888893</v>
      </c>
      <c r="K14" s="2" t="s">
        <v>39</v>
      </c>
      <c r="L14" s="8" t="s">
        <v>39</v>
      </c>
      <c r="M14" s="8"/>
      <c r="N14" s="2" t="s">
        <v>39</v>
      </c>
      <c r="O14" s="2"/>
      <c r="P14" s="16"/>
      <c r="Q14" s="2"/>
      <c r="R14" s="2"/>
      <c r="S14" s="2"/>
      <c r="U14" s="18">
        <v>201.8</v>
      </c>
      <c r="X14" s="5" t="s">
        <v>32</v>
      </c>
      <c r="Y14" s="10">
        <v>4.4433809765061536E-4</v>
      </c>
    </row>
    <row r="15" spans="1:27">
      <c r="A15" s="2">
        <v>238</v>
      </c>
      <c r="B15" s="2" t="str">
        <f>VLOOKUP(Tabela3[[#This Row],[COORDENAÇÃO]],[1]Mun!$D$1:$F$137,3,FALSE)</f>
        <v>Lote 3</v>
      </c>
      <c r="C15" s="5" t="str">
        <f>VLOOKUP(Tabela3[[#This Row],[COORDENAÇÃO]],[1]Mun!$D$1:$E$137,2,FALSE)</f>
        <v>GPR SERTAO</v>
      </c>
      <c r="D15" s="5" t="s">
        <v>34</v>
      </c>
      <c r="E15" s="5" t="s">
        <v>91</v>
      </c>
      <c r="F15" s="6" t="s">
        <v>92</v>
      </c>
      <c r="G15" s="5" t="s">
        <v>93</v>
      </c>
      <c r="H15" s="5" t="s">
        <v>90</v>
      </c>
      <c r="I15" s="7">
        <v>-7.7744527777777774</v>
      </c>
      <c r="J15" s="7">
        <v>-37.473238888888893</v>
      </c>
      <c r="K15" s="2">
        <v>1</v>
      </c>
      <c r="L15" s="8">
        <v>300</v>
      </c>
      <c r="M15" s="8"/>
      <c r="N15" s="14" t="s">
        <v>44</v>
      </c>
      <c r="O15" s="16"/>
      <c r="P15" s="16"/>
      <c r="Q15" s="16"/>
      <c r="R15" s="16"/>
      <c r="S15" s="16"/>
      <c r="U15" s="9">
        <v>205.9</v>
      </c>
      <c r="X15" s="5" t="s">
        <v>32</v>
      </c>
      <c r="Y15" s="10">
        <f>VLOOKUP(Tabela3[[#This Row],[SISTEMA]],'[1]Resultado Geral'!$D$2:$J$171,7,0)</f>
        <v>2.0559230768537969E-4</v>
      </c>
    </row>
    <row r="16" spans="1:27">
      <c r="A16" s="2">
        <v>243</v>
      </c>
      <c r="B16" s="2" t="str">
        <f>VLOOKUP(Tabela3[[#This Row],[COORDENAÇÃO]],[1]Mun!$D$1:$F$137,3,FALSE)</f>
        <v>Lote 3</v>
      </c>
      <c r="C16" s="5" t="str">
        <f>VLOOKUP(Tabela3[[#This Row],[COORDENAÇÃO]],[1]Mun!$D$1:$E$137,2,FALSE)</f>
        <v>GPR SERTAO</v>
      </c>
      <c r="D16" s="5" t="s">
        <v>34</v>
      </c>
      <c r="E16" s="5" t="s">
        <v>35</v>
      </c>
      <c r="F16" s="6" t="s">
        <v>94</v>
      </c>
      <c r="G16" s="5" t="s">
        <v>89</v>
      </c>
      <c r="H16" s="5" t="s">
        <v>90</v>
      </c>
      <c r="I16" s="7">
        <v>-7.7744527777777774</v>
      </c>
      <c r="J16" s="7">
        <v>-37.473238888888893</v>
      </c>
      <c r="K16" s="2" t="s">
        <v>39</v>
      </c>
      <c r="L16" s="8" t="s">
        <v>39</v>
      </c>
      <c r="M16" s="8"/>
      <c r="N16" s="16" t="s">
        <v>39</v>
      </c>
      <c r="O16" s="16"/>
      <c r="P16" s="16"/>
      <c r="Q16" s="16"/>
      <c r="R16" s="16"/>
      <c r="S16" s="16"/>
      <c r="U16" s="9">
        <v>201.8</v>
      </c>
      <c r="X16" s="5" t="s">
        <v>32</v>
      </c>
      <c r="Y16" s="10">
        <f>VLOOKUP(Tabela3[[#This Row],[SISTEMA]],'[1]Resultado Geral'!$D$2:$J$171,7,0)</f>
        <v>1.5594821754501913E-4</v>
      </c>
    </row>
    <row r="17" spans="1:26" ht="14.5" customHeight="1">
      <c r="A17" s="2">
        <v>88</v>
      </c>
      <c r="B17" s="2" t="str">
        <f>VLOOKUP(Tabela3[[#This Row],[COORDENAÇÃO]],[1]Mun!$D$1:$F$137,3,FALSE)</f>
        <v>Lote 1</v>
      </c>
      <c r="C17" s="5" t="str">
        <f>VLOOKUP(Tabela3[[#This Row],[COORDENAÇÃO]],[1]Mun!$D$1:$E$137,2,FALSE)</f>
        <v>GPM</v>
      </c>
      <c r="D17" s="5" t="s">
        <v>95</v>
      </c>
      <c r="E17" s="5" t="s">
        <v>96</v>
      </c>
      <c r="F17" s="6" t="s">
        <v>97</v>
      </c>
      <c r="G17" s="5"/>
      <c r="H17" s="5" t="s">
        <v>98</v>
      </c>
      <c r="I17" s="7"/>
      <c r="J17" s="7"/>
      <c r="K17" s="2">
        <v>1</v>
      </c>
      <c r="L17" s="8">
        <v>200</v>
      </c>
      <c r="M17" s="8"/>
      <c r="N17" s="11" t="s">
        <v>44</v>
      </c>
      <c r="O17" s="2"/>
      <c r="P17" s="2"/>
      <c r="Q17" s="2" t="s">
        <v>99</v>
      </c>
      <c r="R17" s="2"/>
      <c r="S17" s="2"/>
      <c r="U17" s="9">
        <v>154.80000000000001</v>
      </c>
      <c r="V17" s="5" t="s">
        <v>33</v>
      </c>
      <c r="X17" s="5" t="s">
        <v>44</v>
      </c>
      <c r="Y17" s="10">
        <f>VLOOKUP(Tabela3[[#This Row],[SISTEMA]],'[1]Resultado Geral'!$D$2:$J$171,7,0)</f>
        <v>2.6441350723339055E-3</v>
      </c>
    </row>
    <row r="18" spans="1:26" ht="14.5" customHeight="1">
      <c r="A18" s="2">
        <v>166</v>
      </c>
      <c r="B18" s="2" t="str">
        <f>VLOOKUP(Tabela3[[#This Row],[COORDENAÇÃO]],[1]Mun!$D$1:$F$137,3,FALSE)</f>
        <v>Lote 1</v>
      </c>
      <c r="C18" s="5" t="str">
        <f>VLOOKUP(Tabela3[[#This Row],[COORDENAÇÃO]],[1]Mun!$D$1:$E$137,2,FALSE)</f>
        <v>GPM</v>
      </c>
      <c r="D18" s="5" t="s">
        <v>95</v>
      </c>
      <c r="E18" s="5" t="s">
        <v>100</v>
      </c>
      <c r="F18" s="6" t="s">
        <v>101</v>
      </c>
      <c r="G18" s="5" t="s">
        <v>102</v>
      </c>
      <c r="H18" s="5" t="s">
        <v>103</v>
      </c>
      <c r="I18" s="7">
        <v>-7.8970916666666664</v>
      </c>
      <c r="J18" s="7">
        <v>-35.334361111111114</v>
      </c>
      <c r="K18" s="2">
        <v>1</v>
      </c>
      <c r="L18" s="8">
        <v>300</v>
      </c>
      <c r="M18" s="8"/>
      <c r="N18" s="16" t="s">
        <v>32</v>
      </c>
      <c r="O18" s="16" t="s">
        <v>70</v>
      </c>
      <c r="P18" s="16"/>
      <c r="Q18" s="16" t="s">
        <v>44</v>
      </c>
      <c r="R18" s="16" t="s">
        <v>104</v>
      </c>
      <c r="S18" s="2" t="s">
        <v>75</v>
      </c>
      <c r="T18" s="5" t="s">
        <v>105</v>
      </c>
      <c r="U18" s="9">
        <v>129</v>
      </c>
      <c r="X18" s="5" t="s">
        <v>32</v>
      </c>
      <c r="Y18" s="10">
        <f>VLOOKUP(Tabela3[[#This Row],[SISTEMA]],'[1]Resultado Geral'!$D$2:$J$171,7,0)</f>
        <v>9.1237067744077819E-4</v>
      </c>
    </row>
    <row r="19" spans="1:26" ht="14.5" customHeight="1">
      <c r="A19" s="2">
        <v>146</v>
      </c>
      <c r="B19" s="2" t="str">
        <f>VLOOKUP(Tabela3[[#This Row],[COORDENAÇÃO]],[1]Mun!$D$1:$F$137,3,FALSE)</f>
        <v>Lote 1</v>
      </c>
      <c r="C19" s="5" t="str">
        <f>VLOOKUP(Tabela3[[#This Row],[COORDENAÇÃO]],[1]Mun!$D$1:$E$137,2,FALSE)</f>
        <v>GPM</v>
      </c>
      <c r="D19" s="5" t="s">
        <v>95</v>
      </c>
      <c r="E19" s="5" t="s">
        <v>106</v>
      </c>
      <c r="F19" s="6" t="s">
        <v>107</v>
      </c>
      <c r="G19" s="5" t="s">
        <v>102</v>
      </c>
      <c r="H19" s="5" t="s">
        <v>103</v>
      </c>
      <c r="I19" s="7">
        <v>-7.8972055555555549</v>
      </c>
      <c r="J19" s="7">
        <v>-35.333872222222226</v>
      </c>
      <c r="K19" s="2">
        <v>1</v>
      </c>
      <c r="L19" s="8">
        <v>200</v>
      </c>
      <c r="M19" s="8"/>
      <c r="N19" s="11" t="s">
        <v>44</v>
      </c>
      <c r="O19" s="2"/>
      <c r="P19" s="2"/>
      <c r="Q19" s="2"/>
      <c r="R19" s="2"/>
      <c r="S19" s="2"/>
      <c r="U19" s="9">
        <v>97.5</v>
      </c>
      <c r="X19" s="5" t="s">
        <v>32</v>
      </c>
      <c r="Y19" s="10">
        <f>VLOOKUP(Tabela3[[#This Row],[SISTEMA]],'[1]Resultado Geral'!$D$2:$J$171,7,0)</f>
        <v>1.0528618864783727E-3</v>
      </c>
    </row>
    <row r="20" spans="1:26" ht="14.5" customHeight="1">
      <c r="A20" s="2">
        <v>149</v>
      </c>
      <c r="B20" s="2" t="str">
        <f>VLOOKUP(Tabela3[[#This Row],[COORDENAÇÃO]],[1]Mun!$D$1:$F$137,3,FALSE)</f>
        <v>Lote 1</v>
      </c>
      <c r="C20" s="5" t="str">
        <f>VLOOKUP(Tabela3[[#This Row],[COORDENAÇÃO]],[1]Mun!$D$1:$E$137,2,FALSE)</f>
        <v>GPM</v>
      </c>
      <c r="D20" s="5" t="s">
        <v>95</v>
      </c>
      <c r="E20" s="5" t="s">
        <v>108</v>
      </c>
      <c r="F20" s="6" t="s">
        <v>109</v>
      </c>
      <c r="G20" s="19" t="s">
        <v>102</v>
      </c>
      <c r="H20" s="5" t="s">
        <v>110</v>
      </c>
      <c r="I20" s="7">
        <v>-7.9076694444444451</v>
      </c>
      <c r="J20" s="7">
        <v>-35.372588888888892</v>
      </c>
      <c r="K20" s="2">
        <v>1</v>
      </c>
      <c r="L20" s="8">
        <v>200</v>
      </c>
      <c r="M20" s="8"/>
      <c r="N20" s="11" t="s">
        <v>44</v>
      </c>
      <c r="O20" s="2"/>
      <c r="P20" s="2"/>
      <c r="Q20" s="2"/>
      <c r="R20" s="2"/>
      <c r="S20" s="2"/>
      <c r="U20" s="9">
        <v>110.4</v>
      </c>
      <c r="X20" s="5" t="s">
        <v>32</v>
      </c>
      <c r="Y20" s="10">
        <f>VLOOKUP(Tabela3[[#This Row],[SISTEMA]],'[1]Resultado Geral'!$D$2:$J$171,7,0)</f>
        <v>1.3604986393860204E-3</v>
      </c>
    </row>
    <row r="21" spans="1:26" ht="14.5" customHeight="1">
      <c r="A21" s="2">
        <v>150</v>
      </c>
      <c r="B21" s="2" t="str">
        <f>VLOOKUP(Tabela3[[#This Row],[COORDENAÇÃO]],[1]Mun!$D$1:$F$137,3,FALSE)</f>
        <v>Lote 1</v>
      </c>
      <c r="C21" s="5" t="str">
        <f>VLOOKUP(Tabela3[[#This Row],[COORDENAÇÃO]],[1]Mun!$D$1:$E$137,2,FALSE)</f>
        <v>GPM</v>
      </c>
      <c r="D21" s="5" t="s">
        <v>95</v>
      </c>
      <c r="E21" s="5" t="s">
        <v>108</v>
      </c>
      <c r="F21" s="6" t="s">
        <v>109</v>
      </c>
      <c r="G21" s="5" t="s">
        <v>102</v>
      </c>
      <c r="H21" s="5" t="s">
        <v>111</v>
      </c>
      <c r="I21" s="7">
        <v>-7.9076694444444451</v>
      </c>
      <c r="J21" s="7">
        <v>-35.372588888888892</v>
      </c>
      <c r="K21" s="2">
        <v>1</v>
      </c>
      <c r="L21" s="8">
        <v>200</v>
      </c>
      <c r="M21" s="8"/>
      <c r="N21" s="11" t="s">
        <v>44</v>
      </c>
      <c r="O21" s="2"/>
      <c r="P21" s="2"/>
      <c r="Q21" s="2"/>
      <c r="R21" s="2"/>
      <c r="S21" s="2"/>
      <c r="U21" s="9">
        <v>110.4</v>
      </c>
      <c r="X21" s="5" t="s">
        <v>32</v>
      </c>
      <c r="Y21" s="10">
        <f>VLOOKUP(Tabela3[[#This Row],[SISTEMA]],'[1]Resultado Geral'!$D$2:$J$171,7,0)</f>
        <v>1.3604986393860204E-3</v>
      </c>
    </row>
    <row r="22" spans="1:26" ht="14.5" customHeight="1">
      <c r="A22" s="2">
        <v>122</v>
      </c>
      <c r="B22" s="2" t="str">
        <f>VLOOKUP(Tabela3[[#This Row],[COORDENAÇÃO]],[1]Mun!$D$1:$F$137,3,FALSE)</f>
        <v>Lote 1</v>
      </c>
      <c r="C22" s="5" t="str">
        <f>VLOOKUP(Tabela3[[#This Row],[COORDENAÇÃO]],[1]Mun!$D$1:$E$137,2,FALSE)</f>
        <v>GPM</v>
      </c>
      <c r="D22" s="5" t="s">
        <v>95</v>
      </c>
      <c r="E22" s="5" t="s">
        <v>112</v>
      </c>
      <c r="F22" s="6" t="s">
        <v>113</v>
      </c>
      <c r="G22" s="5" t="s">
        <v>102</v>
      </c>
      <c r="H22" s="5" t="s">
        <v>114</v>
      </c>
      <c r="I22" s="7">
        <v>-7.9076777777777778</v>
      </c>
      <c r="J22" s="7">
        <v>-35.372672222222221</v>
      </c>
      <c r="K22" s="2">
        <v>1</v>
      </c>
      <c r="L22" s="8">
        <v>150</v>
      </c>
      <c r="M22" s="8"/>
      <c r="N22" s="11" t="s">
        <v>44</v>
      </c>
      <c r="O22" s="2"/>
      <c r="P22" s="2"/>
      <c r="Q22" s="2"/>
      <c r="R22" s="2"/>
      <c r="S22" s="2"/>
      <c r="U22" s="9">
        <v>123</v>
      </c>
      <c r="X22" s="5" t="s">
        <v>32</v>
      </c>
      <c r="Y22" s="10">
        <f>VLOOKUP(Tabela3[[#This Row],[SISTEMA]],'[1]Resultado Geral'!$D$2:$J$171,7,0)</f>
        <v>1.7159785138642679E-3</v>
      </c>
    </row>
    <row r="23" spans="1:26" ht="14.5" customHeight="1">
      <c r="A23" s="2">
        <v>123</v>
      </c>
      <c r="B23" s="2" t="str">
        <f>VLOOKUP(Tabela3[[#This Row],[COORDENAÇÃO]],[1]Mun!$D$1:$F$137,3,FALSE)</f>
        <v>Lote 1</v>
      </c>
      <c r="C23" s="5" t="str">
        <f>VLOOKUP(Tabela3[[#This Row],[COORDENAÇÃO]],[1]Mun!$D$1:$E$137,2,FALSE)</f>
        <v>GPM</v>
      </c>
      <c r="D23" s="5" t="s">
        <v>95</v>
      </c>
      <c r="E23" s="5" t="s">
        <v>112</v>
      </c>
      <c r="F23" s="6" t="s">
        <v>113</v>
      </c>
      <c r="G23" s="5" t="s">
        <v>102</v>
      </c>
      <c r="H23" s="5" t="s">
        <v>115</v>
      </c>
      <c r="I23" s="7">
        <v>-7.9076777777777778</v>
      </c>
      <c r="J23" s="7">
        <v>-35.372672222222221</v>
      </c>
      <c r="K23" s="2">
        <v>1</v>
      </c>
      <c r="L23" s="8">
        <v>200</v>
      </c>
      <c r="M23" s="8"/>
      <c r="N23" s="11" t="s">
        <v>44</v>
      </c>
      <c r="O23" s="2"/>
      <c r="P23" s="2"/>
      <c r="Q23" s="2"/>
      <c r="R23" s="2"/>
      <c r="S23" s="2"/>
      <c r="U23" s="9">
        <v>123</v>
      </c>
      <c r="X23" s="5" t="s">
        <v>32</v>
      </c>
      <c r="Y23" s="10">
        <f>VLOOKUP(Tabela3[[#This Row],[SISTEMA]],'[1]Resultado Geral'!$D$2:$J$171,7,0)</f>
        <v>1.7159785138642679E-3</v>
      </c>
    </row>
    <row r="24" spans="1:26" ht="14.5" customHeight="1">
      <c r="A24" s="2">
        <v>230</v>
      </c>
      <c r="B24" s="2" t="str">
        <f>VLOOKUP(Tabela3[[#This Row],[COORDENAÇÃO]],[1]Mun!$D$1:$F$137,3,FALSE)</f>
        <v>Lote 2</v>
      </c>
      <c r="C24" s="5" t="str">
        <f>VLOOKUP(Tabela3[[#This Row],[COORDENAÇÃO]],[1]Mun!$D$1:$E$137,2,FALSE)</f>
        <v>GPR Agreste</v>
      </c>
      <c r="D24" s="5" t="s">
        <v>61</v>
      </c>
      <c r="E24" s="5" t="s">
        <v>116</v>
      </c>
      <c r="F24" s="6" t="s">
        <v>117</v>
      </c>
      <c r="G24" s="5"/>
      <c r="H24" s="5" t="s">
        <v>118</v>
      </c>
      <c r="I24" s="7"/>
      <c r="J24" s="7"/>
      <c r="K24" s="2">
        <v>1</v>
      </c>
      <c r="L24" s="8">
        <v>75</v>
      </c>
      <c r="M24" s="8"/>
      <c r="N24" s="14" t="s">
        <v>44</v>
      </c>
      <c r="O24" s="16"/>
      <c r="P24" s="16"/>
      <c r="Q24" s="16"/>
      <c r="R24" s="16"/>
      <c r="S24" s="16"/>
      <c r="U24" s="9">
        <v>367.7</v>
      </c>
      <c r="X24" s="5" t="s">
        <v>44</v>
      </c>
      <c r="Y24" s="10">
        <f>VLOOKUP(Tabela3[[#This Row],[SISTEMA]],'[1]Resultado Geral'!$D$2:$J$171,7,0)</f>
        <v>2.3292004815696619E-4</v>
      </c>
    </row>
    <row r="25" spans="1:26" ht="14.5" customHeight="1">
      <c r="A25" s="2">
        <v>50</v>
      </c>
      <c r="B25" s="2" t="str">
        <f>VLOOKUP(Tabela3[[#This Row],[COORDENAÇÃO]],[1]Mun!$D$1:$F$137,3,FALSE)</f>
        <v>Lote 3</v>
      </c>
      <c r="C25" s="5" t="str">
        <f>VLOOKUP(Tabela3[[#This Row],[COORDENAÇÃO]],[1]Mun!$D$1:$E$137,2,FALSE)</f>
        <v>GPR SERTAO</v>
      </c>
      <c r="D25" s="5" t="s">
        <v>119</v>
      </c>
      <c r="E25" s="5" t="s">
        <v>120</v>
      </c>
      <c r="F25" s="6" t="s">
        <v>121</v>
      </c>
      <c r="G25" s="20" t="s">
        <v>122</v>
      </c>
      <c r="H25" s="5" t="s">
        <v>123</v>
      </c>
      <c r="I25" s="7">
        <v>-7.9745555555555558</v>
      </c>
      <c r="J25" s="7">
        <v>-38.321147222222223</v>
      </c>
      <c r="K25" s="2">
        <v>1</v>
      </c>
      <c r="L25" s="8">
        <v>250</v>
      </c>
      <c r="M25" s="8"/>
      <c r="N25" s="2" t="s">
        <v>32</v>
      </c>
      <c r="O25" s="2"/>
      <c r="P25" s="2"/>
      <c r="Q25" s="2"/>
      <c r="R25" s="2"/>
      <c r="S25" s="2"/>
      <c r="U25" s="9">
        <v>100.7</v>
      </c>
      <c r="V25" s="5" t="s">
        <v>33</v>
      </c>
      <c r="W25" s="5" t="s">
        <v>32</v>
      </c>
      <c r="X25" s="5" t="s">
        <v>32</v>
      </c>
      <c r="Y25" s="10">
        <f>VLOOKUP(Tabela3[[#This Row],[SISTEMA]],'[1]Resultado Geral'!$D$2:$J$171,7,0)</f>
        <v>7.252940649787233E-3</v>
      </c>
      <c r="Z25" s="21" t="s">
        <v>124</v>
      </c>
    </row>
    <row r="26" spans="1:26" ht="14.5" customHeight="1">
      <c r="A26" s="2">
        <v>51</v>
      </c>
      <c r="B26" s="2" t="str">
        <f>VLOOKUP(Tabela3[[#This Row],[COORDENAÇÃO]],[1]Mun!$D$1:$F$137,3,FALSE)</f>
        <v>Lote 3</v>
      </c>
      <c r="C26" s="5" t="str">
        <f>VLOOKUP(Tabela3[[#This Row],[COORDENAÇÃO]],[1]Mun!$D$1:$E$137,2,FALSE)</f>
        <v>GPR SERTAO</v>
      </c>
      <c r="D26" s="5" t="s">
        <v>119</v>
      </c>
      <c r="E26" s="5" t="s">
        <v>120</v>
      </c>
      <c r="F26" s="6" t="s">
        <v>121</v>
      </c>
      <c r="G26" s="20" t="s">
        <v>122</v>
      </c>
      <c r="H26" s="5" t="s">
        <v>125</v>
      </c>
      <c r="I26" s="7">
        <v>-7.9745555555555558</v>
      </c>
      <c r="J26" s="7">
        <v>-38.321147222222223</v>
      </c>
      <c r="K26" s="2">
        <v>1</v>
      </c>
      <c r="L26" s="8">
        <v>150</v>
      </c>
      <c r="M26" s="8"/>
      <c r="N26" s="2" t="s">
        <v>32</v>
      </c>
      <c r="O26" s="2"/>
      <c r="P26" s="2"/>
      <c r="Q26" s="2"/>
      <c r="R26" s="2"/>
      <c r="S26" s="2"/>
      <c r="U26" s="9">
        <v>100.7</v>
      </c>
      <c r="V26" s="5" t="s">
        <v>33</v>
      </c>
      <c r="W26" s="5" t="s">
        <v>32</v>
      </c>
      <c r="X26" s="5" t="s">
        <v>32</v>
      </c>
      <c r="Y26" s="10">
        <f>VLOOKUP(Tabela3[[#This Row],[SISTEMA]],'[1]Resultado Geral'!$D$2:$J$171,7,0)</f>
        <v>7.252940649787233E-3</v>
      </c>
      <c r="Z26" s="19"/>
    </row>
    <row r="27" spans="1:26" ht="14.5" customHeight="1">
      <c r="A27" s="2">
        <v>182</v>
      </c>
      <c r="B27" s="2" t="str">
        <f>VLOOKUP(Tabela3[[#This Row],[COORDENAÇÃO]],[1]Mun!$D$1:$F$137,3,FALSE)</f>
        <v>Lote 1</v>
      </c>
      <c r="C27" s="5" t="str">
        <f>VLOOKUP(Tabela3[[#This Row],[COORDENAÇÃO]],[1]Mun!$D$1:$E$137,2,FALSE)</f>
        <v>GPM</v>
      </c>
      <c r="D27" s="5" t="s">
        <v>95</v>
      </c>
      <c r="E27" s="5" t="s">
        <v>126</v>
      </c>
      <c r="F27" s="6" t="s">
        <v>127</v>
      </c>
      <c r="G27" s="5" t="s">
        <v>128</v>
      </c>
      <c r="H27" s="5" t="s">
        <v>129</v>
      </c>
      <c r="I27" s="7">
        <v>-7.9684277777777783</v>
      </c>
      <c r="J27" s="7">
        <v>-35.115880555555556</v>
      </c>
      <c r="K27" s="2">
        <v>1</v>
      </c>
      <c r="L27" s="8">
        <v>150</v>
      </c>
      <c r="M27" s="8"/>
      <c r="N27" s="14" t="s">
        <v>44</v>
      </c>
      <c r="O27" s="16"/>
      <c r="P27" s="16"/>
      <c r="Q27" s="16"/>
      <c r="R27" s="16"/>
      <c r="S27" s="16"/>
      <c r="U27" s="9">
        <v>137.19999999999999</v>
      </c>
      <c r="X27" s="5" t="s">
        <v>32</v>
      </c>
      <c r="Y27" s="10">
        <f>VLOOKUP(Tabela3[[#This Row],[SISTEMA]],'[1]Resultado Geral'!$D$2:$J$171,7,0)</f>
        <v>8.1596404687167415E-4</v>
      </c>
    </row>
    <row r="28" spans="1:26" ht="14.5" customHeight="1">
      <c r="A28" s="2">
        <v>30</v>
      </c>
      <c r="B28" s="2" t="str">
        <f>VLOOKUP(Tabela3[[#This Row],[COORDENAÇÃO]],[1]Mun!$D$1:$F$137,3,FALSE)</f>
        <v>Lote 2</v>
      </c>
      <c r="C28" s="5" t="str">
        <f>VLOOKUP(Tabela3[[#This Row],[COORDENAÇÃO]],[1]Mun!$D$1:$E$137,2,FALSE)</f>
        <v>GPR Agreste</v>
      </c>
      <c r="D28" s="5" t="s">
        <v>27</v>
      </c>
      <c r="E28" s="5" t="s">
        <v>28</v>
      </c>
      <c r="F28" s="6" t="s">
        <v>130</v>
      </c>
      <c r="G28" s="5" t="s">
        <v>30</v>
      </c>
      <c r="H28" s="5" t="s">
        <v>131</v>
      </c>
      <c r="I28" s="7">
        <v>-8.3118861111111126</v>
      </c>
      <c r="J28" s="7">
        <v>-36.425022222222218</v>
      </c>
      <c r="K28" s="2">
        <v>1</v>
      </c>
      <c r="L28" s="8">
        <v>600</v>
      </c>
      <c r="M28" s="8"/>
      <c r="N28" s="2" t="s">
        <v>32</v>
      </c>
      <c r="O28" s="2" t="s">
        <v>132</v>
      </c>
      <c r="P28" s="2"/>
      <c r="Q28" s="2" t="s">
        <v>44</v>
      </c>
      <c r="R28" s="2"/>
      <c r="S28" s="2"/>
      <c r="U28" s="9">
        <v>55.7</v>
      </c>
      <c r="V28" s="5" t="s">
        <v>33</v>
      </c>
      <c r="W28" s="5" t="s">
        <v>32</v>
      </c>
      <c r="X28" s="5" t="s">
        <v>32</v>
      </c>
      <c r="Y28" s="10">
        <f>VLOOKUP(Tabela3[[#This Row],[SISTEMA]],'[1]Resultado Geral'!$D$2:$J$171,7,0)</f>
        <v>1.2784762664806139E-2</v>
      </c>
    </row>
    <row r="29" spans="1:26" ht="14.5" customHeight="1">
      <c r="A29" s="2">
        <v>31</v>
      </c>
      <c r="B29" s="2" t="str">
        <f>VLOOKUP(Tabela3[[#This Row],[COORDENAÇÃO]],[1]Mun!$D$1:$F$137,3,FALSE)</f>
        <v>Lote 2</v>
      </c>
      <c r="C29" s="5" t="str">
        <f>VLOOKUP(Tabela3[[#This Row],[COORDENAÇÃO]],[1]Mun!$D$1:$E$137,2,FALSE)</f>
        <v>GPR Agreste</v>
      </c>
      <c r="D29" s="5" t="s">
        <v>27</v>
      </c>
      <c r="E29" s="5" t="s">
        <v>28</v>
      </c>
      <c r="F29" s="6" t="s">
        <v>130</v>
      </c>
      <c r="G29" s="5" t="s">
        <v>30</v>
      </c>
      <c r="H29" s="5" t="s">
        <v>133</v>
      </c>
      <c r="I29" s="7">
        <v>-8.3118861111111126</v>
      </c>
      <c r="J29" s="7">
        <v>-36.425022222222218</v>
      </c>
      <c r="K29" s="2">
        <v>1</v>
      </c>
      <c r="L29" s="8">
        <v>300</v>
      </c>
      <c r="M29" s="8"/>
      <c r="N29" s="2" t="s">
        <v>32</v>
      </c>
      <c r="O29" s="2" t="s">
        <v>132</v>
      </c>
      <c r="P29" s="2"/>
      <c r="Q29" s="2" t="s">
        <v>44</v>
      </c>
      <c r="R29" s="2"/>
      <c r="S29" s="2"/>
      <c r="U29" s="9">
        <v>55.7</v>
      </c>
      <c r="V29" s="5" t="s">
        <v>33</v>
      </c>
      <c r="W29" s="5" t="s">
        <v>32</v>
      </c>
      <c r="X29" s="5" t="s">
        <v>32</v>
      </c>
      <c r="Y29" s="10">
        <f>VLOOKUP(Tabela3[[#This Row],[SISTEMA]],'[1]Resultado Geral'!$D$2:$J$171,7,0)</f>
        <v>1.2784762664806139E-2</v>
      </c>
    </row>
    <row r="30" spans="1:26" ht="14.5" customHeight="1">
      <c r="A30" s="2">
        <v>13</v>
      </c>
      <c r="B30" s="2" t="str">
        <f>VLOOKUP(Tabela3[[#This Row],[COORDENAÇÃO]],[1]Mun!$D$1:$F$137,3,FALSE)</f>
        <v>Lote 1</v>
      </c>
      <c r="C30" s="5" t="str">
        <f>VLOOKUP(Tabela3[[#This Row],[COORDENAÇÃO]],[1]Mun!$D$1:$E$137,2,FALSE)</f>
        <v>GPM</v>
      </c>
      <c r="D30" s="5" t="s">
        <v>84</v>
      </c>
      <c r="E30" s="5" t="s">
        <v>85</v>
      </c>
      <c r="F30" s="6" t="s">
        <v>86</v>
      </c>
      <c r="G30" s="5"/>
      <c r="H30" s="5" t="s">
        <v>134</v>
      </c>
      <c r="I30" s="7">
        <v>-7.93771</v>
      </c>
      <c r="J30" s="7">
        <v>-34.912379999999999</v>
      </c>
      <c r="K30" s="2">
        <v>1</v>
      </c>
      <c r="L30" s="8">
        <v>400</v>
      </c>
      <c r="M30" s="8"/>
      <c r="N30" s="2" t="s">
        <v>32</v>
      </c>
      <c r="O30" s="22" t="s">
        <v>135</v>
      </c>
      <c r="P30" s="22"/>
      <c r="Q30" s="2"/>
      <c r="R30" s="2"/>
      <c r="S30" s="2"/>
      <c r="U30" s="9">
        <v>0</v>
      </c>
      <c r="V30" s="5" t="s">
        <v>33</v>
      </c>
      <c r="X30" s="5" t="s">
        <v>44</v>
      </c>
      <c r="Y30" s="10">
        <f>VLOOKUP(Tabela3[[#This Row],[SISTEMA]],'[1]Resultado Geral'!$D$2:$J$171,7,0)</f>
        <v>3.7092027648939929E-2</v>
      </c>
    </row>
    <row r="31" spans="1:26" ht="14.5" customHeight="1">
      <c r="A31" s="2">
        <v>156</v>
      </c>
      <c r="B31" s="2" t="str">
        <f>VLOOKUP(Tabela3[[#This Row],[COORDENAÇÃO]],[1]Mun!$D$1:$F$137,3,FALSE)</f>
        <v>Lote 3</v>
      </c>
      <c r="C31" s="5" t="str">
        <f>VLOOKUP(Tabela3[[#This Row],[COORDENAÇÃO]],[1]Mun!$D$1:$E$137,2,FALSE)</f>
        <v>GPR SERTAO</v>
      </c>
      <c r="D31" s="5" t="s">
        <v>53</v>
      </c>
      <c r="E31" s="5" t="s">
        <v>136</v>
      </c>
      <c r="F31" s="6" t="s">
        <v>137</v>
      </c>
      <c r="G31" s="5" t="s">
        <v>138</v>
      </c>
      <c r="H31" s="5" t="s">
        <v>139</v>
      </c>
      <c r="I31" s="7">
        <v>-8.4959916666666651</v>
      </c>
      <c r="J31" s="7">
        <v>-36.944311111111105</v>
      </c>
      <c r="K31" s="2">
        <v>1</v>
      </c>
      <c r="L31" s="8">
        <v>200</v>
      </c>
      <c r="M31" s="8"/>
      <c r="N31" s="11" t="s">
        <v>44</v>
      </c>
      <c r="O31" s="2"/>
      <c r="P31" s="2"/>
      <c r="Q31" s="2"/>
      <c r="R31" s="2"/>
      <c r="S31" s="2"/>
      <c r="U31" s="9">
        <v>273.89999999999998</v>
      </c>
      <c r="X31" s="5" t="s">
        <v>32</v>
      </c>
      <c r="Y31" s="10">
        <f>VLOOKUP(Tabela3[[#This Row],[SISTEMA]],'[1]Resultado Geral'!$D$2:$J$171,7,0)</f>
        <v>1.0676290457205975E-3</v>
      </c>
    </row>
    <row r="32" spans="1:26" ht="14.5" customHeight="1">
      <c r="A32" s="2">
        <v>155</v>
      </c>
      <c r="B32" s="2" t="str">
        <f>VLOOKUP(Tabela3[[#This Row],[COORDENAÇÃO]],[1]Mun!$D$1:$F$137,3,FALSE)</f>
        <v>Lote 3</v>
      </c>
      <c r="C32" s="5" t="str">
        <f>VLOOKUP(Tabela3[[#This Row],[COORDENAÇÃO]],[1]Mun!$D$1:$E$137,2,FALSE)</f>
        <v>GPR SERTAO</v>
      </c>
      <c r="D32" s="5" t="s">
        <v>53</v>
      </c>
      <c r="E32" s="5" t="s">
        <v>140</v>
      </c>
      <c r="F32" s="6" t="s">
        <v>141</v>
      </c>
      <c r="G32" s="5" t="s">
        <v>142</v>
      </c>
      <c r="H32" s="5" t="s">
        <v>143</v>
      </c>
      <c r="I32" s="7">
        <v>-8.6124444444444439</v>
      </c>
      <c r="J32" s="7">
        <v>-36.912144444444444</v>
      </c>
      <c r="K32" s="2">
        <v>1</v>
      </c>
      <c r="L32" s="8">
        <v>150</v>
      </c>
      <c r="M32" s="8"/>
      <c r="N32" s="2" t="s">
        <v>32</v>
      </c>
      <c r="O32" s="2" t="s">
        <v>70</v>
      </c>
      <c r="P32" s="2"/>
      <c r="Q32" s="2" t="s">
        <v>44</v>
      </c>
      <c r="R32" s="2" t="s">
        <v>144</v>
      </c>
      <c r="S32" s="2" t="s">
        <v>75</v>
      </c>
      <c r="T32" s="5" t="s">
        <v>145</v>
      </c>
      <c r="U32" s="9">
        <v>286.89999999999998</v>
      </c>
      <c r="X32" s="5" t="s">
        <v>32</v>
      </c>
      <c r="Y32" s="10">
        <f>VLOOKUP(Tabela3[[#This Row],[SISTEMA]],'[1]Resultado Geral'!$D$2:$J$171,7,0)</f>
        <v>1.072797825515811E-3</v>
      </c>
    </row>
    <row r="33" spans="1:26" ht="14.5" customHeight="1">
      <c r="A33" s="2">
        <v>208</v>
      </c>
      <c r="B33" s="2" t="str">
        <f>VLOOKUP(Tabela3[[#This Row],[COORDENAÇÃO]],[1]Mun!$D$1:$F$137,3,FALSE)</f>
        <v>Lote 1</v>
      </c>
      <c r="C33" s="5" t="str">
        <f>VLOOKUP(Tabela3[[#This Row],[COORDENAÇÃO]],[1]Mun!$D$1:$E$137,2,FALSE)</f>
        <v>GPM</v>
      </c>
      <c r="D33" s="5" t="s">
        <v>40</v>
      </c>
      <c r="E33" s="5" t="s">
        <v>146</v>
      </c>
      <c r="F33" s="6" t="s">
        <v>147</v>
      </c>
      <c r="G33" s="5" t="s">
        <v>148</v>
      </c>
      <c r="H33" s="5" t="s">
        <v>149</v>
      </c>
      <c r="I33" s="7">
        <v>-8.7231860000000001</v>
      </c>
      <c r="J33" s="7">
        <v>-35.186591</v>
      </c>
      <c r="K33" s="2">
        <v>1</v>
      </c>
      <c r="L33" s="8">
        <v>250</v>
      </c>
      <c r="M33" s="8"/>
      <c r="N33" s="14" t="s">
        <v>44</v>
      </c>
      <c r="O33" s="16"/>
      <c r="P33" s="16"/>
      <c r="Q33" s="16"/>
      <c r="R33" s="16"/>
      <c r="S33" s="16"/>
      <c r="U33" s="9">
        <v>151.30000000000001</v>
      </c>
      <c r="X33" s="5" t="s">
        <v>32</v>
      </c>
      <c r="Y33" s="10">
        <f>VLOOKUP(Tabela3[[#This Row],[SISTEMA]],'[1]Resultado Geral'!$D$2:$J$171,7,0)</f>
        <v>5.9478944590879955E-4</v>
      </c>
    </row>
    <row r="34" spans="1:26" ht="14.5" customHeight="1">
      <c r="A34" s="2">
        <v>118</v>
      </c>
      <c r="B34" s="2" t="str">
        <f>VLOOKUP(Tabela3[[#This Row],[COORDENAÇÃO]],[1]Mun!$D$1:$F$137,3,FALSE)</f>
        <v>Lote 3</v>
      </c>
      <c r="C34" s="5" t="str">
        <f>VLOOKUP(Tabela3[[#This Row],[COORDENAÇÃO]],[1]Mun!$D$1:$E$137,2,FALSE)</f>
        <v>GPR SERTAO</v>
      </c>
      <c r="D34" s="5" t="s">
        <v>45</v>
      </c>
      <c r="E34" s="5" t="s">
        <v>150</v>
      </c>
      <c r="F34" s="6" t="s">
        <v>151</v>
      </c>
      <c r="G34" s="5" t="s">
        <v>37</v>
      </c>
      <c r="H34" s="5" t="s">
        <v>152</v>
      </c>
      <c r="I34" s="7">
        <v>-8.757330555555555</v>
      </c>
      <c r="J34" s="7">
        <v>-38.969313888888891</v>
      </c>
      <c r="K34" s="2">
        <v>1</v>
      </c>
      <c r="L34" s="8">
        <v>200</v>
      </c>
      <c r="M34" s="8"/>
      <c r="N34" s="2" t="s">
        <v>32</v>
      </c>
      <c r="O34" s="2" t="s">
        <v>70</v>
      </c>
      <c r="P34" s="2"/>
      <c r="Q34" s="2" t="s">
        <v>44</v>
      </c>
      <c r="R34" s="2" t="s">
        <v>71</v>
      </c>
      <c r="S34" s="2" t="s">
        <v>153</v>
      </c>
      <c r="T34" s="5" t="s">
        <v>154</v>
      </c>
      <c r="U34" s="9">
        <v>100</v>
      </c>
      <c r="X34" s="5" t="s">
        <v>32</v>
      </c>
      <c r="Y34" s="10">
        <f>VLOOKUP(Tabela3[[#This Row],[SISTEMA]],'[1]Resultado Geral'!$D$2:$J$171,7,0)</f>
        <v>1.7932322352088733E-3</v>
      </c>
    </row>
    <row r="35" spans="1:26" ht="14.5" customHeight="1">
      <c r="A35" s="2">
        <v>132</v>
      </c>
      <c r="B35" s="2" t="str">
        <f>VLOOKUP(Tabela3[[#This Row],[COORDENAÇÃO]],[1]Mun!$D$1:$F$137,3,FALSE)</f>
        <v>Lote 3</v>
      </c>
      <c r="C35" s="5" t="str">
        <f>VLOOKUP(Tabela3[[#This Row],[COORDENAÇÃO]],[1]Mun!$D$1:$E$137,2,FALSE)</f>
        <v>GPR SERTAO</v>
      </c>
      <c r="D35" s="5" t="s">
        <v>53</v>
      </c>
      <c r="E35" s="5" t="s">
        <v>155</v>
      </c>
      <c r="F35" s="6" t="s">
        <v>156</v>
      </c>
      <c r="G35" s="5" t="s">
        <v>37</v>
      </c>
      <c r="H35" s="5" t="s">
        <v>157</v>
      </c>
      <c r="I35" s="7">
        <v>-8.0813527777777772</v>
      </c>
      <c r="J35" s="7">
        <v>-37.312427777777778</v>
      </c>
      <c r="K35" s="2">
        <v>1</v>
      </c>
      <c r="L35" s="8">
        <v>250</v>
      </c>
      <c r="M35" s="8"/>
      <c r="N35" s="11" t="s">
        <v>44</v>
      </c>
      <c r="O35" s="2"/>
      <c r="P35" s="2"/>
      <c r="Q35" s="2"/>
      <c r="R35" s="2"/>
      <c r="S35" s="2"/>
      <c r="U35" s="9">
        <v>218.5</v>
      </c>
      <c r="X35" s="5" t="s">
        <v>32</v>
      </c>
      <c r="Y35" s="10">
        <f>VLOOKUP(Tabela3[[#This Row],[SISTEMA]],'[1]Resultado Geral'!$D$2:$J$171,7,0)</f>
        <v>1.4301882927376308E-3</v>
      </c>
    </row>
    <row r="36" spans="1:26">
      <c r="A36" s="2">
        <v>105</v>
      </c>
      <c r="B36" s="2" t="str">
        <f>VLOOKUP(Tabela3[[#This Row],[COORDENAÇÃO]],[1]Mun!$D$1:$F$137,3,FALSE)</f>
        <v>Lote 3</v>
      </c>
      <c r="C36" s="5" t="str">
        <f>VLOOKUP(Tabela3[[#This Row],[COORDENAÇÃO]],[1]Mun!$D$1:$E$137,2,FALSE)</f>
        <v>GPR SERTAO</v>
      </c>
      <c r="D36" s="5" t="s">
        <v>119</v>
      </c>
      <c r="E36" s="5" t="s">
        <v>158</v>
      </c>
      <c r="F36" s="6" t="s">
        <v>159</v>
      </c>
      <c r="G36" s="5" t="s">
        <v>37</v>
      </c>
      <c r="H36" s="5" t="s">
        <v>160</v>
      </c>
      <c r="I36" s="7">
        <v>-8.7751999999999999</v>
      </c>
      <c r="J36" s="7">
        <v>-38.54674</v>
      </c>
      <c r="K36" s="2" t="s">
        <v>39</v>
      </c>
      <c r="L36" s="8" t="s">
        <v>39</v>
      </c>
      <c r="M36" s="8"/>
      <c r="N36" s="2" t="s">
        <v>39</v>
      </c>
      <c r="O36" s="2"/>
      <c r="P36" s="2"/>
      <c r="Q36" s="2"/>
      <c r="R36" s="2"/>
      <c r="S36" s="2"/>
      <c r="U36" s="9">
        <v>143.69999999999999</v>
      </c>
      <c r="X36" s="5" t="s">
        <v>32</v>
      </c>
      <c r="Y36" s="10">
        <f>VLOOKUP(Tabela3[[#This Row],[SISTEMA]],'[1]Resultado Geral'!$D$2:$J$171,7,0)</f>
        <v>2.9831891738201599E-3</v>
      </c>
    </row>
    <row r="37" spans="1:26">
      <c r="A37" s="2">
        <v>85</v>
      </c>
      <c r="B37" s="2" t="str">
        <f>VLOOKUP(Tabela3[[#This Row],[COORDENAÇÃO]],[1]Mun!$D$1:$F$137,3,FALSE)</f>
        <v>Lote 3</v>
      </c>
      <c r="C37" s="5" t="str">
        <f>VLOOKUP(Tabela3[[#This Row],[COORDENAÇÃO]],[1]Mun!$D$1:$E$137,2,FALSE)</f>
        <v>GPR SERTAO</v>
      </c>
      <c r="D37" s="5" t="s">
        <v>45</v>
      </c>
      <c r="E37" s="5" t="s">
        <v>161</v>
      </c>
      <c r="F37" s="6" t="s">
        <v>162</v>
      </c>
      <c r="G37" s="5" t="s">
        <v>37</v>
      </c>
      <c r="H37" s="5" t="s">
        <v>163</v>
      </c>
      <c r="I37" s="7">
        <v>-8.8095833333333342</v>
      </c>
      <c r="J37" s="7">
        <v>-39.825705555555558</v>
      </c>
      <c r="K37" s="2">
        <v>1</v>
      </c>
      <c r="L37" s="8">
        <v>300</v>
      </c>
      <c r="M37" s="8"/>
      <c r="N37" s="2" t="s">
        <v>32</v>
      </c>
      <c r="O37" s="2"/>
      <c r="P37" s="2"/>
      <c r="Q37" s="2"/>
      <c r="R37" s="2"/>
      <c r="S37" s="2"/>
      <c r="U37" s="9">
        <v>142.80000000000001</v>
      </c>
      <c r="V37" s="5" t="s">
        <v>33</v>
      </c>
      <c r="X37" s="5" t="s">
        <v>32</v>
      </c>
      <c r="Y37" s="10">
        <f>VLOOKUP(Tabela3[[#This Row],[SISTEMA]],'[1]Resultado Geral'!$D$2:$J$171,7,0)</f>
        <v>2.9103965299258328E-3</v>
      </c>
    </row>
    <row r="38" spans="1:26">
      <c r="A38" s="2">
        <v>210</v>
      </c>
      <c r="B38" s="2" t="str">
        <f>VLOOKUP(Tabela3[[#This Row],[COORDENAÇÃO]],[1]Mun!$D$1:$F$137,3,FALSE)</f>
        <v>Lote 3</v>
      </c>
      <c r="C38" s="5" t="str">
        <f>VLOOKUP(Tabela3[[#This Row],[COORDENAÇÃO]],[1]Mun!$D$1:$E$137,2,FALSE)</f>
        <v>GPR SERTAO</v>
      </c>
      <c r="D38" s="5" t="s">
        <v>119</v>
      </c>
      <c r="E38" s="5" t="s">
        <v>164</v>
      </c>
      <c r="F38" s="6" t="s">
        <v>165</v>
      </c>
      <c r="G38" s="5" t="s">
        <v>37</v>
      </c>
      <c r="H38" s="5" t="s">
        <v>166</v>
      </c>
      <c r="I38" s="7">
        <v>-8.8103916666666677</v>
      </c>
      <c r="J38" s="7">
        <v>-38.702188888888891</v>
      </c>
      <c r="K38" s="2">
        <v>1</v>
      </c>
      <c r="L38" s="8">
        <v>150</v>
      </c>
      <c r="M38" s="8" t="s">
        <v>167</v>
      </c>
      <c r="N38" s="14" t="s">
        <v>44</v>
      </c>
      <c r="O38" s="16"/>
      <c r="P38" s="16"/>
      <c r="Q38" s="16"/>
      <c r="R38" s="16"/>
      <c r="S38" s="16"/>
      <c r="U38" s="9">
        <v>135.6</v>
      </c>
      <c r="X38" s="5" t="s">
        <v>32</v>
      </c>
      <c r="Y38" s="10">
        <f>VLOOKUP(Tabela3[[#This Row],[SISTEMA]],'[1]Resultado Geral'!$D$2:$J$171,7,0)</f>
        <v>4.3671217030239812E-4</v>
      </c>
    </row>
    <row r="39" spans="1:26" ht="14.5" customHeight="1">
      <c r="A39" s="2">
        <v>62</v>
      </c>
      <c r="B39" s="2" t="str">
        <f>VLOOKUP(Tabela3[[#This Row],[COORDENAÇÃO]],[1]Mun!$D$1:$F$137,3,FALSE)</f>
        <v>Lote 1</v>
      </c>
      <c r="C39" s="5" t="str">
        <f>VLOOKUP(Tabela3[[#This Row],[COORDENAÇÃO]],[1]Mun!$D$1:$E$137,2,FALSE)</f>
        <v>GPM</v>
      </c>
      <c r="D39" s="5" t="s">
        <v>95</v>
      </c>
      <c r="E39" s="5" t="s">
        <v>168</v>
      </c>
      <c r="F39" s="6" t="s">
        <v>169</v>
      </c>
      <c r="G39" s="5"/>
      <c r="H39" s="5" t="s">
        <v>170</v>
      </c>
      <c r="I39" s="7"/>
      <c r="J39" s="7"/>
      <c r="K39" s="2">
        <v>1</v>
      </c>
      <c r="L39" s="8">
        <v>200</v>
      </c>
      <c r="M39" s="8"/>
      <c r="N39" s="11" t="s">
        <v>44</v>
      </c>
      <c r="O39" s="2"/>
      <c r="P39" s="2"/>
      <c r="Q39" s="2" t="s">
        <v>99</v>
      </c>
      <c r="R39" s="2"/>
      <c r="S39" s="2"/>
      <c r="U39" s="9">
        <v>169.9</v>
      </c>
      <c r="V39" s="5" t="s">
        <v>33</v>
      </c>
      <c r="X39" s="5" t="s">
        <v>44</v>
      </c>
      <c r="Y39" s="10">
        <f>VLOOKUP(Tabela3[[#This Row],[SISTEMA]],'[1]Resultado Geral'!$D$2:$J$171,7,0)</f>
        <v>5.4307659100265304E-3</v>
      </c>
    </row>
    <row r="40" spans="1:26" ht="14.5" customHeight="1">
      <c r="A40" s="2">
        <v>49</v>
      </c>
      <c r="B40" s="2" t="str">
        <f>VLOOKUP(Tabela3[[#This Row],[COORDENAÇÃO]],[1]Mun!$D$1:$F$137,3,FALSE)</f>
        <v>Lote 3</v>
      </c>
      <c r="C40" s="5" t="str">
        <f>VLOOKUP(Tabela3[[#This Row],[COORDENAÇÃO]],[1]Mun!$D$1:$E$137,2,FALSE)</f>
        <v>GPR SERTAO</v>
      </c>
      <c r="D40" s="5" t="s">
        <v>119</v>
      </c>
      <c r="E40" s="5" t="s">
        <v>120</v>
      </c>
      <c r="F40" s="6" t="s">
        <v>121</v>
      </c>
      <c r="G40" s="5" t="s">
        <v>37</v>
      </c>
      <c r="H40" s="5" t="s">
        <v>160</v>
      </c>
      <c r="I40" s="7">
        <v>-8.7751999999999999</v>
      </c>
      <c r="J40" s="7">
        <v>-38.54674</v>
      </c>
      <c r="K40" s="2">
        <v>1</v>
      </c>
      <c r="L40" s="8">
        <v>600</v>
      </c>
      <c r="M40" s="8"/>
      <c r="N40" s="2" t="s">
        <v>32</v>
      </c>
      <c r="O40" s="2"/>
      <c r="P40" s="2"/>
      <c r="Q40" s="2"/>
      <c r="R40" s="2"/>
      <c r="S40" s="2"/>
      <c r="U40" s="9">
        <v>100.7</v>
      </c>
      <c r="V40" s="5" t="s">
        <v>32</v>
      </c>
      <c r="W40" s="5" t="s">
        <v>32</v>
      </c>
      <c r="X40" s="5" t="s">
        <v>32</v>
      </c>
      <c r="Y40" s="10">
        <f>VLOOKUP(Tabela3[[#This Row],[SISTEMA]],'[1]Resultado Geral'!$D$2:$J$171,7,0)</f>
        <v>7.252940649787233E-3</v>
      </c>
    </row>
    <row r="41" spans="1:26" ht="14.5" customHeight="1">
      <c r="A41" s="2">
        <v>89</v>
      </c>
      <c r="B41" s="2" t="str">
        <f>VLOOKUP(Tabela3[[#This Row],[COORDENAÇÃO]],[1]Mun!$D$1:$F$137,3,FALSE)</f>
        <v>Lote 1</v>
      </c>
      <c r="C41" s="5" t="str">
        <f>VLOOKUP(Tabela3[[#This Row],[COORDENAÇÃO]],[1]Mun!$D$1:$E$137,2,FALSE)</f>
        <v>GPM</v>
      </c>
      <c r="D41" s="5" t="s">
        <v>95</v>
      </c>
      <c r="E41" s="5" t="s">
        <v>96</v>
      </c>
      <c r="F41" s="6" t="s">
        <v>97</v>
      </c>
      <c r="G41" s="5"/>
      <c r="H41" s="5" t="s">
        <v>171</v>
      </c>
      <c r="I41" s="7"/>
      <c r="J41" s="7"/>
      <c r="K41" s="2">
        <v>1</v>
      </c>
      <c r="L41" s="8">
        <v>200</v>
      </c>
      <c r="M41" s="8"/>
      <c r="N41" s="11" t="s">
        <v>44</v>
      </c>
      <c r="O41" s="2"/>
      <c r="P41" s="2"/>
      <c r="Q41" s="2" t="s">
        <v>99</v>
      </c>
      <c r="R41" s="2"/>
      <c r="S41" s="2"/>
      <c r="U41" s="9">
        <v>154.80000000000001</v>
      </c>
      <c r="V41" s="5" t="s">
        <v>33</v>
      </c>
      <c r="X41" s="5" t="s">
        <v>44</v>
      </c>
      <c r="Y41" s="10">
        <f>VLOOKUP(Tabela3[[#This Row],[SISTEMA]],'[1]Resultado Geral'!$D$2:$J$171,7,0)</f>
        <v>2.6441350723339055E-3</v>
      </c>
    </row>
    <row r="42" spans="1:26" ht="14.5" customHeight="1">
      <c r="A42" s="2">
        <v>269</v>
      </c>
      <c r="B42" s="2" t="str">
        <f>VLOOKUP(Tabela3[[#This Row],[COORDENAÇÃO]],[1]Mun!$D$1:$F$137,3,FALSE)</f>
        <v>Lote 2</v>
      </c>
      <c r="C42" s="5" t="str">
        <f>VLOOKUP(Tabela3[[#This Row],[COORDENAÇÃO]],[1]Mun!$D$1:$E$137,2,FALSE)</f>
        <v>GPR Agreste</v>
      </c>
      <c r="D42" s="5" t="s">
        <v>61</v>
      </c>
      <c r="E42" s="5" t="s">
        <v>172</v>
      </c>
      <c r="F42" s="12" t="s">
        <v>173</v>
      </c>
      <c r="G42" s="5" t="s">
        <v>174</v>
      </c>
      <c r="H42" s="5" t="s">
        <v>175</v>
      </c>
      <c r="I42" s="7"/>
      <c r="J42" s="7"/>
      <c r="K42" s="2">
        <v>1</v>
      </c>
      <c r="L42" s="13">
        <v>75</v>
      </c>
      <c r="M42" s="13"/>
      <c r="N42" s="14" t="s">
        <v>44</v>
      </c>
      <c r="O42" s="15" t="s">
        <v>39</v>
      </c>
      <c r="P42" s="16" t="s">
        <v>39</v>
      </c>
      <c r="Q42" s="16" t="s">
        <v>44</v>
      </c>
      <c r="R42" s="16"/>
      <c r="S42" s="16"/>
      <c r="U42" s="9">
        <v>344.4</v>
      </c>
      <c r="X42" s="5" t="s">
        <v>32</v>
      </c>
      <c r="Y42" s="10" t="e">
        <f>VLOOKUP(Tabela3[[#This Row],[SISTEMA]],'[1]Resultado Geral'!$D$2:$J$171,7,0)</f>
        <v>#N/A</v>
      </c>
    </row>
    <row r="43" spans="1:26" ht="14.5" customHeight="1">
      <c r="A43" s="2">
        <v>269</v>
      </c>
      <c r="B43" s="2" t="str">
        <f>VLOOKUP(Tabela3[[#This Row],[COORDENAÇÃO]],[1]Mun!$D$1:$F$137,3,FALSE)</f>
        <v>Lote 2</v>
      </c>
      <c r="C43" s="5" t="str">
        <f>VLOOKUP(Tabela3[[#This Row],[COORDENAÇÃO]],[1]Mun!$D$1:$E$137,2,FALSE)</f>
        <v>GPR Agreste</v>
      </c>
      <c r="D43" s="5" t="s">
        <v>61</v>
      </c>
      <c r="E43" s="5" t="s">
        <v>172</v>
      </c>
      <c r="F43" s="12" t="s">
        <v>173</v>
      </c>
      <c r="G43" s="5" t="s">
        <v>174</v>
      </c>
      <c r="H43" s="5" t="s">
        <v>176</v>
      </c>
      <c r="I43" s="7"/>
      <c r="J43" s="7"/>
      <c r="K43" s="2">
        <v>1</v>
      </c>
      <c r="L43" s="13">
        <v>75</v>
      </c>
      <c r="M43" s="13"/>
      <c r="N43" s="14" t="s">
        <v>44</v>
      </c>
      <c r="O43" s="15" t="s">
        <v>39</v>
      </c>
      <c r="P43" s="16" t="s">
        <v>39</v>
      </c>
      <c r="Q43" s="16" t="s">
        <v>44</v>
      </c>
      <c r="R43" s="16"/>
      <c r="S43" s="16"/>
      <c r="U43" s="9">
        <v>344.4</v>
      </c>
      <c r="X43" s="5" t="s">
        <v>32</v>
      </c>
      <c r="Y43" s="10" t="e">
        <f>VLOOKUP(Tabela3[[#This Row],[SISTEMA]],'[1]Resultado Geral'!$D$2:$J$171,7,0)</f>
        <v>#N/A</v>
      </c>
    </row>
    <row r="44" spans="1:26" ht="14.5" customHeight="1">
      <c r="A44" s="2">
        <v>117</v>
      </c>
      <c r="B44" s="2" t="str">
        <f>VLOOKUP(Tabela3[[#This Row],[COORDENAÇÃO]],[1]Mun!$D$1:$F$137,3,FALSE)</f>
        <v>Lote 3</v>
      </c>
      <c r="C44" s="5" t="str">
        <f>VLOOKUP(Tabela3[[#This Row],[COORDENAÇÃO]],[1]Mun!$D$1:$E$137,2,FALSE)</f>
        <v>GPR SERTAO</v>
      </c>
      <c r="D44" s="5" t="s">
        <v>119</v>
      </c>
      <c r="E44" s="5" t="s">
        <v>177</v>
      </c>
      <c r="F44" s="6" t="s">
        <v>178</v>
      </c>
      <c r="G44" s="5" t="s">
        <v>37</v>
      </c>
      <c r="H44" s="5" t="s">
        <v>179</v>
      </c>
      <c r="I44" s="7">
        <v>-8.9867277777777765</v>
      </c>
      <c r="J44" s="7">
        <v>-38.244486111111115</v>
      </c>
      <c r="K44" s="2">
        <v>1</v>
      </c>
      <c r="L44" s="8">
        <v>400</v>
      </c>
      <c r="M44" s="8" t="s">
        <v>180</v>
      </c>
      <c r="N44" s="11" t="s">
        <v>44</v>
      </c>
      <c r="O44" s="2"/>
      <c r="P44" s="2"/>
      <c r="Q44" s="2"/>
      <c r="R44" s="2"/>
      <c r="S44" s="2"/>
      <c r="U44" s="9">
        <v>207.4</v>
      </c>
      <c r="X44" s="5" t="s">
        <v>32</v>
      </c>
      <c r="Y44" s="10">
        <f>VLOOKUP(Tabela3[[#This Row],[SISTEMA]],'[1]Resultado Geral'!$D$2:$J$171,7,0)</f>
        <v>2.7074665236044475E-3</v>
      </c>
    </row>
    <row r="45" spans="1:26" ht="14.5" customHeight="1">
      <c r="A45" s="2">
        <v>57</v>
      </c>
      <c r="B45" s="2" t="str">
        <f>VLOOKUP(Tabela3[[#This Row],[COORDENAÇÃO]],[1]Mun!$D$1:$F$137,3,FALSE)</f>
        <v>Lote 2</v>
      </c>
      <c r="C45" s="5" t="str">
        <f>VLOOKUP(Tabela3[[#This Row],[COORDENAÇÃO]],[1]Mun!$D$1:$E$137,2,FALSE)</f>
        <v>GPR Agreste</v>
      </c>
      <c r="D45" s="5" t="s">
        <v>27</v>
      </c>
      <c r="E45" s="5" t="s">
        <v>181</v>
      </c>
      <c r="F45" s="6" t="s">
        <v>182</v>
      </c>
      <c r="G45" s="5"/>
      <c r="H45" s="5" t="s">
        <v>183</v>
      </c>
      <c r="I45" s="7"/>
      <c r="J45" s="7"/>
      <c r="K45" s="2">
        <v>1</v>
      </c>
      <c r="L45" s="8">
        <v>100</v>
      </c>
      <c r="M45" s="8"/>
      <c r="N45" s="11" t="s">
        <v>44</v>
      </c>
      <c r="O45" s="2"/>
      <c r="P45" s="2"/>
      <c r="Q45" s="2" t="s">
        <v>99</v>
      </c>
      <c r="R45" s="2"/>
      <c r="S45" s="2"/>
      <c r="U45" s="9">
        <v>85.4</v>
      </c>
      <c r="V45" s="5" t="s">
        <v>33</v>
      </c>
      <c r="X45" s="5" t="s">
        <v>44</v>
      </c>
      <c r="Y45" s="10">
        <f>VLOOKUP(Tabela3[[#This Row],[SISTEMA]],'[1]Resultado Geral'!$D$2:$J$171,7,0)</f>
        <v>3.5122332441510874E-3</v>
      </c>
    </row>
    <row r="46" spans="1:26" ht="14.5" customHeight="1">
      <c r="A46" s="2">
        <v>119</v>
      </c>
      <c r="B46" s="2" t="str">
        <f>VLOOKUP(Tabela3[[#This Row],[COORDENAÇÃO]],[1]Mun!$D$1:$F$137,3,FALSE)</f>
        <v>Lote 3</v>
      </c>
      <c r="C46" s="5" t="str">
        <f>VLOOKUP(Tabela3[[#This Row],[COORDENAÇÃO]],[1]Mun!$D$1:$E$137,2,FALSE)</f>
        <v>GPR SERTAO</v>
      </c>
      <c r="D46" s="5" t="s">
        <v>66</v>
      </c>
      <c r="E46" s="5" t="s">
        <v>184</v>
      </c>
      <c r="F46" s="6" t="s">
        <v>185</v>
      </c>
      <c r="G46" s="5" t="s">
        <v>37</v>
      </c>
      <c r="H46" s="5" t="s">
        <v>186</v>
      </c>
      <c r="I46" s="7">
        <v>-9.0523583333333342</v>
      </c>
      <c r="J46" s="7">
        <v>-40.248566666666669</v>
      </c>
      <c r="K46" s="2">
        <v>1</v>
      </c>
      <c r="L46" s="8">
        <v>250</v>
      </c>
      <c r="M46" s="8"/>
      <c r="N46" s="11" t="s">
        <v>44</v>
      </c>
      <c r="O46" s="2"/>
      <c r="P46" s="2"/>
      <c r="Q46" s="2"/>
      <c r="R46" s="2"/>
      <c r="S46" s="2"/>
      <c r="U46" s="9">
        <v>183</v>
      </c>
      <c r="X46" s="5" t="s">
        <v>32</v>
      </c>
      <c r="Y46" s="10">
        <f>VLOOKUP(Tabela3[[#This Row],[SISTEMA]],'[1]Resultado Geral'!$D$2:$J$171,7,0)</f>
        <v>1.9465017077638265E-3</v>
      </c>
      <c r="Z46" s="23" t="s">
        <v>187</v>
      </c>
    </row>
    <row r="47" spans="1:26" ht="14.5" customHeight="1">
      <c r="A47" s="2">
        <v>259</v>
      </c>
      <c r="B47" s="2" t="str">
        <f>VLOOKUP(Tabela3[[#This Row],[COORDENAÇÃO]],[1]Mun!$D$1:$F$137,3,FALSE)</f>
        <v>Lote 3</v>
      </c>
      <c r="C47" s="5" t="str">
        <f>VLOOKUP(Tabela3[[#This Row],[COORDENAÇÃO]],[1]Mun!$D$1:$E$137,2,FALSE)</f>
        <v>GPR SERTAO</v>
      </c>
      <c r="D47" s="5" t="s">
        <v>119</v>
      </c>
      <c r="E47" s="5" t="s">
        <v>188</v>
      </c>
      <c r="F47" s="17" t="s">
        <v>189</v>
      </c>
      <c r="G47" s="5" t="s">
        <v>190</v>
      </c>
      <c r="H47" s="5" t="s">
        <v>191</v>
      </c>
      <c r="I47" s="7">
        <v>-9.2949166666666674</v>
      </c>
      <c r="J47" s="7">
        <v>-38.202658333333339</v>
      </c>
      <c r="K47" s="2"/>
      <c r="L47" s="13"/>
      <c r="M47" s="13"/>
      <c r="N47" s="14"/>
      <c r="O47" s="16"/>
      <c r="P47" s="16"/>
      <c r="Q47" s="16"/>
      <c r="R47" s="16"/>
      <c r="S47" s="16"/>
      <c r="U47" s="9">
        <v>236</v>
      </c>
      <c r="X47" s="5" t="s">
        <v>32</v>
      </c>
      <c r="Y47" s="10" t="e">
        <f>VLOOKUP(Tabela3[[#This Row],[SISTEMA]],'[1]Resultado Geral'!$D$2:$J$171,7,0)</f>
        <v>#N/A</v>
      </c>
    </row>
    <row r="48" spans="1:26" ht="14.5" customHeight="1">
      <c r="A48" s="2">
        <v>24</v>
      </c>
      <c r="B48" s="2" t="str">
        <f>VLOOKUP(Tabela3[[#This Row],[COORDENAÇÃO]],[1]Mun!$D$1:$F$137,3,FALSE)</f>
        <v>Lote 3</v>
      </c>
      <c r="C48" s="5" t="str">
        <f>VLOOKUP(Tabela3[[#This Row],[COORDENAÇÃO]],[1]Mun!$D$1:$E$137,2,FALSE)</f>
        <v>GPR SERTAO</v>
      </c>
      <c r="D48" s="5" t="s">
        <v>66</v>
      </c>
      <c r="E48" s="5" t="s">
        <v>67</v>
      </c>
      <c r="F48" s="6" t="s">
        <v>73</v>
      </c>
      <c r="G48" s="5" t="s">
        <v>37</v>
      </c>
      <c r="H48" s="5" t="s">
        <v>192</v>
      </c>
      <c r="I48" s="7">
        <v>-9.4123611111111121</v>
      </c>
      <c r="J48" s="7">
        <v>-40.537194444444445</v>
      </c>
      <c r="K48" s="2">
        <v>1</v>
      </c>
      <c r="L48" s="8">
        <v>600</v>
      </c>
      <c r="M48" s="8"/>
      <c r="N48" s="2" t="s">
        <v>32</v>
      </c>
      <c r="O48" s="2" t="s">
        <v>70</v>
      </c>
      <c r="P48" s="2"/>
      <c r="Q48" s="2" t="s">
        <v>44</v>
      </c>
      <c r="R48" s="2" t="s">
        <v>71</v>
      </c>
      <c r="S48" s="2" t="s">
        <v>153</v>
      </c>
      <c r="T48" s="5" t="s">
        <v>154</v>
      </c>
      <c r="U48" s="9">
        <v>230.8</v>
      </c>
      <c r="V48" s="5" t="s">
        <v>33</v>
      </c>
      <c r="W48" s="5" t="s">
        <v>32</v>
      </c>
      <c r="X48" s="5" t="s">
        <v>32</v>
      </c>
      <c r="Y48" s="10">
        <f>VLOOKUP(Tabela3[[#This Row],[SISTEMA]],'[1]Resultado Geral'!$D$2:$J$171,7,0)</f>
        <v>1.3479560678423565E-2</v>
      </c>
      <c r="Z48" s="19"/>
    </row>
    <row r="49" spans="1:26" ht="14.5" customHeight="1">
      <c r="A49" s="2">
        <v>110</v>
      </c>
      <c r="B49" s="2" t="str">
        <f>VLOOKUP(Tabela3[[#This Row],[COORDENAÇÃO]],[1]Mun!$D$1:$F$137,3,FALSE)</f>
        <v>Lote 3</v>
      </c>
      <c r="C49" s="5" t="str">
        <f>VLOOKUP(Tabela3[[#This Row],[COORDENAÇÃO]],[1]Mun!$D$1:$E$137,2,FALSE)</f>
        <v>GPR SERTAO</v>
      </c>
      <c r="D49" s="5" t="s">
        <v>66</v>
      </c>
      <c r="E49" s="5" t="s">
        <v>67</v>
      </c>
      <c r="F49" s="6" t="s">
        <v>193</v>
      </c>
      <c r="G49" s="5" t="s">
        <v>37</v>
      </c>
      <c r="H49" s="5" t="s">
        <v>194</v>
      </c>
      <c r="I49" s="7">
        <v>-9.4039750000000009</v>
      </c>
      <c r="J49" s="7">
        <v>-40.522911111111107</v>
      </c>
      <c r="K49" s="2">
        <v>1</v>
      </c>
      <c r="L49" s="8">
        <v>300</v>
      </c>
      <c r="M49" s="8"/>
      <c r="N49" s="2" t="s">
        <v>32</v>
      </c>
      <c r="O49" s="2" t="s">
        <v>70</v>
      </c>
      <c r="P49" s="2"/>
      <c r="Q49" s="2" t="s">
        <v>44</v>
      </c>
      <c r="R49" s="2" t="s">
        <v>144</v>
      </c>
      <c r="S49" s="2" t="s">
        <v>153</v>
      </c>
      <c r="T49" s="5" t="s">
        <v>154</v>
      </c>
      <c r="U49" s="9">
        <v>230.8</v>
      </c>
      <c r="W49" s="5" t="s">
        <v>32</v>
      </c>
      <c r="X49" s="5" t="s">
        <v>32</v>
      </c>
      <c r="Y49" s="10">
        <f>VLOOKUP(Tabela3[[#This Row],[SISTEMA]],'[1]Resultado Geral'!$D$2:$J$171,7,0)</f>
        <v>2.0469965369862872E-3</v>
      </c>
    </row>
    <row r="50" spans="1:26" ht="14.5" customHeight="1">
      <c r="A50" s="2">
        <v>16</v>
      </c>
      <c r="B50" s="2" t="str">
        <f>VLOOKUP(Tabela3[[#This Row],[COORDENAÇÃO]],[1]Mun!$D$1:$F$137,3,FALSE)</f>
        <v>Lote 3</v>
      </c>
      <c r="C50" s="5" t="str">
        <f>VLOOKUP(Tabela3[[#This Row],[COORDENAÇÃO]],[1]Mun!$D$1:$E$137,2,FALSE)</f>
        <v>GPR SERTAO</v>
      </c>
      <c r="D50" s="5" t="s">
        <v>66</v>
      </c>
      <c r="E50" s="5" t="s">
        <v>67</v>
      </c>
      <c r="F50" s="6" t="s">
        <v>195</v>
      </c>
      <c r="G50" s="5" t="s">
        <v>37</v>
      </c>
      <c r="H50" s="5" t="s">
        <v>196</v>
      </c>
      <c r="I50" s="7">
        <v>-9.4039972222222232</v>
      </c>
      <c r="J50" s="7">
        <v>-40.522883333333333</v>
      </c>
      <c r="K50" s="2">
        <v>1</v>
      </c>
      <c r="L50" s="8">
        <v>700</v>
      </c>
      <c r="M50" s="8" t="s">
        <v>52</v>
      </c>
      <c r="N50" s="11" t="s">
        <v>32</v>
      </c>
      <c r="O50" s="2" t="s">
        <v>197</v>
      </c>
      <c r="P50" s="2" t="s">
        <v>198</v>
      </c>
      <c r="Q50" s="2" t="s">
        <v>44</v>
      </c>
      <c r="R50" s="2"/>
      <c r="S50" s="2"/>
      <c r="U50" s="9">
        <v>230.8</v>
      </c>
      <c r="V50" s="5" t="s">
        <v>33</v>
      </c>
      <c r="W50" s="5" t="s">
        <v>32</v>
      </c>
      <c r="X50" s="5" t="s">
        <v>32</v>
      </c>
      <c r="Y50" s="10">
        <f>VLOOKUP(Tabela3[[#This Row],[SISTEMA]],'[1]Resultado Geral'!$D$2:$J$171,7,0)</f>
        <v>2.0941114408308537E-2</v>
      </c>
      <c r="Z50" s="19"/>
    </row>
    <row r="51" spans="1:26" ht="14.5" customHeight="1">
      <c r="A51" s="2">
        <v>175</v>
      </c>
      <c r="B51" s="2" t="str">
        <f>VLOOKUP(Tabela3[[#This Row],[COORDENAÇÃO]],[1]Mun!$D$1:$F$137,3,FALSE)</f>
        <v>Lote 3</v>
      </c>
      <c r="C51" s="5" t="str">
        <f>VLOOKUP(Tabela3[[#This Row],[COORDENAÇÃO]],[1]Mun!$D$1:$E$137,2,FALSE)</f>
        <v>GPR SERTAO</v>
      </c>
      <c r="D51" s="5" t="s">
        <v>66</v>
      </c>
      <c r="E51" s="5" t="s">
        <v>184</v>
      </c>
      <c r="F51" s="6" t="s">
        <v>199</v>
      </c>
      <c r="G51" s="5" t="s">
        <v>37</v>
      </c>
      <c r="H51" s="5" t="s">
        <v>200</v>
      </c>
      <c r="I51" s="7">
        <v>-9.0882777777777779</v>
      </c>
      <c r="J51" s="7">
        <v>-40.122805555555558</v>
      </c>
      <c r="K51" s="2">
        <v>1</v>
      </c>
      <c r="L51" s="8">
        <v>150</v>
      </c>
      <c r="M51" s="8"/>
      <c r="N51" s="14" t="s">
        <v>44</v>
      </c>
      <c r="O51" s="16"/>
      <c r="P51" s="16"/>
      <c r="Q51" s="16"/>
      <c r="R51" s="16"/>
      <c r="S51" s="16"/>
      <c r="U51" s="9">
        <v>183</v>
      </c>
      <c r="X51" s="5" t="s">
        <v>32</v>
      </c>
      <c r="Y51" s="10">
        <f>VLOOKUP(Tabela3[[#This Row],[SISTEMA]],'[1]Resultado Geral'!$D$2:$J$171,7,0)</f>
        <v>8.8158194519599936E-4</v>
      </c>
    </row>
    <row r="52" spans="1:26" ht="14.5" customHeight="1">
      <c r="A52" s="2">
        <v>74</v>
      </c>
      <c r="B52" s="2" t="str">
        <f>VLOOKUP(Tabela3[[#This Row],[COORDENAÇÃO]],[1]Mun!$D$1:$F$137,3,FALSE)</f>
        <v>Lote 3</v>
      </c>
      <c r="C52" s="5" t="str">
        <f>VLOOKUP(Tabela3[[#This Row],[COORDENAÇÃO]],[1]Mun!$D$1:$E$137,2,FALSE)</f>
        <v>GPR SERTAO</v>
      </c>
      <c r="D52" s="5" t="s">
        <v>119</v>
      </c>
      <c r="E52" s="5" t="s">
        <v>188</v>
      </c>
      <c r="F52" s="6" t="s">
        <v>201</v>
      </c>
      <c r="G52" s="5" t="s">
        <v>37</v>
      </c>
      <c r="H52" s="5" t="s">
        <v>202</v>
      </c>
      <c r="I52" s="7">
        <v>-9.1231888888888886</v>
      </c>
      <c r="J52" s="7">
        <v>-38.288694444444445</v>
      </c>
      <c r="K52" s="2">
        <v>1</v>
      </c>
      <c r="L52" s="8">
        <v>400</v>
      </c>
      <c r="M52" s="8" t="s">
        <v>167</v>
      </c>
      <c r="N52" s="11" t="s">
        <v>44</v>
      </c>
      <c r="O52" s="2"/>
      <c r="P52" s="2"/>
      <c r="Q52" s="2" t="s">
        <v>44</v>
      </c>
      <c r="R52" s="2"/>
      <c r="S52" s="2"/>
      <c r="U52" s="9">
        <v>236</v>
      </c>
      <c r="V52" s="5" t="s">
        <v>33</v>
      </c>
      <c r="X52" s="5" t="s">
        <v>32</v>
      </c>
      <c r="Y52" s="10">
        <f>VLOOKUP(Tabela3[[#This Row],[SISTEMA]],'[1]Resultado Geral'!$D$2:$J$171,7,0)</f>
        <v>3.6028487428296538E-3</v>
      </c>
    </row>
    <row r="53" spans="1:26">
      <c r="A53" s="2">
        <v>67</v>
      </c>
      <c r="B53" s="2" t="str">
        <f>VLOOKUP(Tabela3[[#This Row],[COORDENAÇÃO]],[1]Mun!$D$1:$F$137,3,FALSE)</f>
        <v>Lote 3</v>
      </c>
      <c r="C53" s="5" t="str">
        <f>VLOOKUP(Tabela3[[#This Row],[COORDENAÇÃO]],[1]Mun!$D$1:$E$137,2,FALSE)</f>
        <v>GPR SERTAO</v>
      </c>
      <c r="D53" s="5" t="s">
        <v>34</v>
      </c>
      <c r="E53" s="5" t="s">
        <v>203</v>
      </c>
      <c r="F53" s="6" t="s">
        <v>204</v>
      </c>
      <c r="G53" s="5"/>
      <c r="H53" s="5" t="s">
        <v>205</v>
      </c>
      <c r="I53" s="7">
        <v>-7.7430000000000003</v>
      </c>
      <c r="J53" s="7">
        <v>-37.625</v>
      </c>
      <c r="K53" s="2">
        <v>1</v>
      </c>
      <c r="L53" s="8">
        <v>400</v>
      </c>
      <c r="M53" s="8"/>
      <c r="N53" s="11" t="s">
        <v>32</v>
      </c>
      <c r="O53" s="2"/>
      <c r="P53" s="2"/>
      <c r="Q53" s="2"/>
      <c r="R53" s="2"/>
      <c r="S53" s="2"/>
      <c r="U53" s="9">
        <v>182.4</v>
      </c>
      <c r="V53" s="5" t="s">
        <v>33</v>
      </c>
      <c r="X53" s="5" t="s">
        <v>44</v>
      </c>
      <c r="Y53" s="10">
        <f>VLOOKUP(Tabela3[[#This Row],[SISTEMA]],'[1]Resultado Geral'!$D$2:$J$171,7,0)</f>
        <v>4.2694230732635268E-3</v>
      </c>
    </row>
    <row r="54" spans="1:26" ht="14.5" customHeight="1">
      <c r="A54" s="2">
        <v>68</v>
      </c>
      <c r="B54" s="2" t="str">
        <f>VLOOKUP(Tabela3[[#This Row],[COORDENAÇÃO]],[1]Mun!$D$1:$F$137,3,FALSE)</f>
        <v>Lote 3</v>
      </c>
      <c r="C54" s="5" t="str">
        <f>VLOOKUP(Tabela3[[#This Row],[COORDENAÇÃO]],[1]Mun!$D$1:$E$137,2,FALSE)</f>
        <v>GPR SERTAO</v>
      </c>
      <c r="D54" s="5" t="s">
        <v>34</v>
      </c>
      <c r="E54" s="5" t="s">
        <v>203</v>
      </c>
      <c r="F54" s="6" t="s">
        <v>204</v>
      </c>
      <c r="G54" s="5"/>
      <c r="H54" s="5" t="s">
        <v>38</v>
      </c>
      <c r="I54" s="7">
        <v>-8.0621170000000006</v>
      </c>
      <c r="J54" s="7">
        <v>-37.354404000000002</v>
      </c>
      <c r="K54" s="2">
        <v>1</v>
      </c>
      <c r="L54" s="8">
        <v>700</v>
      </c>
      <c r="M54" s="8"/>
      <c r="N54" s="2" t="s">
        <v>32</v>
      </c>
      <c r="O54" s="2"/>
      <c r="P54" s="2"/>
      <c r="Q54" s="2"/>
      <c r="R54" s="2"/>
      <c r="S54" s="2"/>
      <c r="U54" s="9">
        <v>182.4</v>
      </c>
      <c r="X54" s="5" t="s">
        <v>44</v>
      </c>
      <c r="Y54" s="10">
        <f>VLOOKUP(Tabela3[[#This Row],[SISTEMA]],'[1]Resultado Geral'!$D$2:$J$171,7,0)</f>
        <v>4.2694230732635268E-3</v>
      </c>
    </row>
    <row r="55" spans="1:26" ht="14.5" customHeight="1">
      <c r="A55" s="2">
        <v>99</v>
      </c>
      <c r="B55" s="2" t="str">
        <f>VLOOKUP(Tabela3[[#This Row],[COORDENAÇÃO]],[1]Mun!$D$1:$F$137,3,FALSE)</f>
        <v>Lote 2</v>
      </c>
      <c r="C55" s="5" t="str">
        <f>VLOOKUP(Tabela3[[#This Row],[COORDENAÇÃO]],[1]Mun!$D$1:$E$137,2,FALSE)</f>
        <v>GPR Agreste</v>
      </c>
      <c r="D55" s="5" t="s">
        <v>206</v>
      </c>
      <c r="E55" s="5" t="s">
        <v>207</v>
      </c>
      <c r="F55" s="6" t="s">
        <v>208</v>
      </c>
      <c r="G55" s="5"/>
      <c r="H55" s="5" t="s">
        <v>209</v>
      </c>
      <c r="I55" s="7">
        <v>-8.5239999999999991</v>
      </c>
      <c r="J55" s="7">
        <v>-35.838000000000001</v>
      </c>
      <c r="K55" s="2" t="s">
        <v>39</v>
      </c>
      <c r="L55" s="8" t="s">
        <v>39</v>
      </c>
      <c r="M55" s="8"/>
      <c r="N55" s="2" t="s">
        <v>39</v>
      </c>
      <c r="O55" s="2"/>
      <c r="P55" s="2"/>
      <c r="Q55" s="2"/>
      <c r="R55" s="2"/>
      <c r="S55" s="2"/>
      <c r="U55" s="9">
        <v>25.1</v>
      </c>
      <c r="V55" s="5" t="s">
        <v>33</v>
      </c>
      <c r="X55" s="5" t="s">
        <v>44</v>
      </c>
      <c r="Y55" s="10">
        <f>VLOOKUP(Tabela3[[#This Row],[SISTEMA]],'[1]Resultado Geral'!$D$2:$J$171,7,0)</f>
        <v>3.747417657921112E-3</v>
      </c>
    </row>
    <row r="56" spans="1:26" ht="14.5" customHeight="1">
      <c r="A56" s="2">
        <v>228</v>
      </c>
      <c r="B56" s="2" t="str">
        <f>VLOOKUP(Tabela3[[#This Row],[COORDENAÇÃO]],[1]Mun!$D$1:$F$137,3,FALSE)</f>
        <v>Lote 2</v>
      </c>
      <c r="C56" s="5" t="str">
        <f>VLOOKUP(Tabela3[[#This Row],[COORDENAÇÃO]],[1]Mun!$D$1:$E$137,2,FALSE)</f>
        <v>GPR Agreste</v>
      </c>
      <c r="D56" s="5" t="s">
        <v>210</v>
      </c>
      <c r="E56" s="5" t="s">
        <v>211</v>
      </c>
      <c r="F56" s="6" t="s">
        <v>212</v>
      </c>
      <c r="G56" s="5"/>
      <c r="H56" s="5" t="s">
        <v>213</v>
      </c>
      <c r="I56" s="7"/>
      <c r="J56" s="7"/>
      <c r="K56" s="2">
        <v>1</v>
      </c>
      <c r="L56" s="8">
        <v>100</v>
      </c>
      <c r="M56" s="8"/>
      <c r="N56" s="14" t="s">
        <v>44</v>
      </c>
      <c r="O56" s="16"/>
      <c r="P56" s="16"/>
      <c r="Q56" s="16"/>
      <c r="R56" s="16"/>
      <c r="S56" s="16"/>
      <c r="U56" s="9">
        <v>53.5</v>
      </c>
      <c r="X56" s="5" t="s">
        <v>44</v>
      </c>
      <c r="Y56" s="10">
        <f>VLOOKUP(Tabela3[[#This Row],[SISTEMA]],'[1]Resultado Geral'!$D$2:$J$171,7,0)</f>
        <v>2.9087991491074365E-4</v>
      </c>
    </row>
    <row r="57" spans="1:26" ht="14.5" customHeight="1">
      <c r="A57" s="2">
        <v>103</v>
      </c>
      <c r="B57" s="2" t="str">
        <f>VLOOKUP(Tabela3[[#This Row],[COORDENAÇÃO]],[1]Mun!$D$1:$F$137,3,FALSE)</f>
        <v>Lote 3</v>
      </c>
      <c r="C57" s="5" t="str">
        <f>VLOOKUP(Tabela3[[#This Row],[COORDENAÇÃO]],[1]Mun!$D$1:$E$137,2,FALSE)</f>
        <v>GPR SERTAO</v>
      </c>
      <c r="D57" s="5" t="s">
        <v>53</v>
      </c>
      <c r="E57" s="5" t="s">
        <v>214</v>
      </c>
      <c r="F57" s="6" t="s">
        <v>215</v>
      </c>
      <c r="G57" s="5"/>
      <c r="H57" s="5" t="s">
        <v>216</v>
      </c>
      <c r="I57" s="7">
        <v>-8.7558900000000008</v>
      </c>
      <c r="J57" s="7">
        <v>-37.381889999999999</v>
      </c>
      <c r="K57" s="2">
        <v>1</v>
      </c>
      <c r="L57" s="8">
        <v>300</v>
      </c>
      <c r="M57" s="8"/>
      <c r="N57" s="11" t="s">
        <v>44</v>
      </c>
      <c r="O57" s="2"/>
      <c r="P57" s="2"/>
      <c r="Q57" s="2"/>
      <c r="R57" s="2"/>
      <c r="S57" s="2"/>
      <c r="U57" s="9">
        <v>371.2</v>
      </c>
      <c r="V57" s="5" t="s">
        <v>33</v>
      </c>
      <c r="X57" s="5" t="s">
        <v>44</v>
      </c>
      <c r="Y57" s="10">
        <f>VLOOKUP(Tabela3[[#This Row],[SISTEMA]],'[1]Resultado Geral'!$D$2:$J$171,7,0)</f>
        <v>1.1767372028853923E-3</v>
      </c>
    </row>
    <row r="58" spans="1:26" ht="14.5" customHeight="1">
      <c r="A58" s="2">
        <v>230</v>
      </c>
      <c r="B58" s="2" t="str">
        <f>VLOOKUP(Tabela3[[#This Row],[COORDENAÇÃO]],[1]Mun!$D$1:$F$137,3,FALSE)</f>
        <v>Lote 2</v>
      </c>
      <c r="C58" s="5" t="str">
        <f>VLOOKUP(Tabela3[[#This Row],[COORDENAÇÃO]],[1]Mun!$D$1:$E$137,2,FALSE)</f>
        <v>GPR Agreste</v>
      </c>
      <c r="D58" s="5" t="s">
        <v>61</v>
      </c>
      <c r="E58" s="5" t="s">
        <v>116</v>
      </c>
      <c r="F58" s="6" t="s">
        <v>117</v>
      </c>
      <c r="G58" s="5"/>
      <c r="H58" s="5" t="s">
        <v>217</v>
      </c>
      <c r="I58" s="7"/>
      <c r="J58" s="7"/>
      <c r="K58" s="2">
        <v>1</v>
      </c>
      <c r="L58" s="8">
        <v>100</v>
      </c>
      <c r="M58" s="8"/>
      <c r="N58" s="14" t="s">
        <v>44</v>
      </c>
      <c r="O58" s="16"/>
      <c r="P58" s="16"/>
      <c r="Q58" s="16"/>
      <c r="R58" s="16"/>
      <c r="S58" s="16"/>
      <c r="U58" s="9">
        <v>367.7</v>
      </c>
      <c r="X58" s="5" t="s">
        <v>44</v>
      </c>
      <c r="Y58" s="10">
        <f>VLOOKUP(Tabela3[[#This Row],[SISTEMA]],'[1]Resultado Geral'!$D$2:$J$171,7,0)</f>
        <v>2.3292004815696619E-4</v>
      </c>
      <c r="Z58" s="19"/>
    </row>
    <row r="59" spans="1:26" ht="14.5" customHeight="1">
      <c r="A59" s="2">
        <v>240</v>
      </c>
      <c r="B59" s="2" t="str">
        <f>VLOOKUP(Tabela3[[#This Row],[COORDENAÇÃO]],[1]Mun!$D$1:$F$137,3,FALSE)</f>
        <v>Lote 2</v>
      </c>
      <c r="C59" s="5" t="str">
        <f>VLOOKUP(Tabela3[[#This Row],[COORDENAÇÃO]],[1]Mun!$D$1:$E$137,2,FALSE)</f>
        <v>GPR Agreste</v>
      </c>
      <c r="D59" s="5" t="s">
        <v>61</v>
      </c>
      <c r="E59" s="5" t="s">
        <v>218</v>
      </c>
      <c r="F59" s="6" t="s">
        <v>219</v>
      </c>
      <c r="G59" s="24"/>
      <c r="H59" s="5" t="s">
        <v>220</v>
      </c>
      <c r="I59" s="7"/>
      <c r="J59" s="7"/>
      <c r="K59" s="2">
        <v>1</v>
      </c>
      <c r="L59" s="8">
        <v>100</v>
      </c>
      <c r="M59" s="8"/>
      <c r="N59" s="14" t="s">
        <v>44</v>
      </c>
      <c r="O59" s="16"/>
      <c r="P59" s="16"/>
      <c r="Q59" s="16"/>
      <c r="R59" s="16"/>
      <c r="S59" s="16"/>
      <c r="T59" s="5" t="s">
        <v>221</v>
      </c>
      <c r="U59" s="9">
        <v>389.9</v>
      </c>
      <c r="X59" s="5" t="s">
        <v>44</v>
      </c>
      <c r="Y59" s="10">
        <f>VLOOKUP(Tabela3[[#This Row],[SISTEMA]],'[1]Resultado Geral'!$D$2:$J$171,7,0)</f>
        <v>2.3900105768425388E-4</v>
      </c>
    </row>
    <row r="60" spans="1:26" ht="14.5" customHeight="1">
      <c r="A60" s="2">
        <v>272</v>
      </c>
      <c r="B60" s="2" t="str">
        <f>VLOOKUP(Tabela3[[#This Row],[COORDENAÇÃO]],[1]Mun!$D$1:$F$137,3,FALSE)</f>
        <v>Lote 2</v>
      </c>
      <c r="C60" s="5" t="str">
        <f>VLOOKUP(Tabela3[[#This Row],[COORDENAÇÃO]],[1]Mun!$D$1:$E$137,2,FALSE)</f>
        <v>GPR Agreste</v>
      </c>
      <c r="D60" s="5" t="s">
        <v>206</v>
      </c>
      <c r="E60" s="5" t="s">
        <v>207</v>
      </c>
      <c r="F60" s="12" t="s">
        <v>222</v>
      </c>
      <c r="G60" s="5"/>
      <c r="H60" s="5"/>
      <c r="I60" s="7"/>
      <c r="J60" s="7"/>
      <c r="K60" s="2"/>
      <c r="L60" s="13"/>
      <c r="M60" s="13"/>
      <c r="N60" s="14"/>
      <c r="O60" s="15"/>
      <c r="P60" s="16"/>
      <c r="Q60" s="16"/>
      <c r="R60" s="16"/>
      <c r="S60" s="16"/>
      <c r="U60" s="9">
        <v>25.1</v>
      </c>
      <c r="Y60" s="10" t="e">
        <f>VLOOKUP(Tabela3[[#This Row],[SISTEMA]],'[1]Resultado Geral'!$D$2:$J$171,7,0)</f>
        <v>#N/A</v>
      </c>
    </row>
    <row r="61" spans="1:26" ht="14.5" customHeight="1">
      <c r="A61" s="2">
        <v>179</v>
      </c>
      <c r="B61" s="2" t="str">
        <f>VLOOKUP(Tabela3[[#This Row],[COORDENAÇÃO]],[1]Mun!$D$1:$F$137,3,FALSE)</f>
        <v>Lote 1</v>
      </c>
      <c r="C61" s="5" t="str">
        <f>VLOOKUP(Tabela3[[#This Row],[COORDENAÇÃO]],[1]Mun!$D$1:$E$137,2,FALSE)</f>
        <v>GPM</v>
      </c>
      <c r="D61" s="5" t="s">
        <v>84</v>
      </c>
      <c r="E61" s="5" t="s">
        <v>223</v>
      </c>
      <c r="F61" s="6" t="s">
        <v>224</v>
      </c>
      <c r="G61" s="5"/>
      <c r="H61" s="5" t="s">
        <v>225</v>
      </c>
      <c r="I61" s="7">
        <v>-7.7805158163693502</v>
      </c>
      <c r="J61" s="7">
        <v>-35.095702280658202</v>
      </c>
      <c r="K61" s="2">
        <v>1</v>
      </c>
      <c r="L61" s="8">
        <v>200</v>
      </c>
      <c r="M61" s="8"/>
      <c r="N61" s="14" t="s">
        <v>44</v>
      </c>
      <c r="O61" s="16"/>
      <c r="P61" s="16"/>
      <c r="Q61" s="16"/>
      <c r="R61" s="16"/>
      <c r="S61" s="16"/>
      <c r="U61" s="9">
        <v>46</v>
      </c>
      <c r="X61" s="5" t="s">
        <v>44</v>
      </c>
      <c r="Y61" s="10">
        <f>VLOOKUP(Tabela3[[#This Row],[SISTEMA]],'[1]Resultado Geral'!$D$2:$J$171,7,0)</f>
        <v>8.8156628459974055E-4</v>
      </c>
    </row>
    <row r="62" spans="1:26" ht="14.5" customHeight="1">
      <c r="A62" s="2">
        <v>258</v>
      </c>
      <c r="B62" s="2" t="str">
        <f>VLOOKUP(Tabela3[[#This Row],[COORDENAÇÃO]],[1]Mun!$D$1:$F$137,3,FALSE)</f>
        <v>Lote 2</v>
      </c>
      <c r="C62" s="5" t="str">
        <f>VLOOKUP(Tabela3[[#This Row],[COORDENAÇÃO]],[1]Mun!$D$1:$E$137,2,FALSE)</f>
        <v>GPR Agreste</v>
      </c>
      <c r="D62" s="5" t="s">
        <v>206</v>
      </c>
      <c r="E62" s="5" t="s">
        <v>226</v>
      </c>
      <c r="F62" s="17" t="s">
        <v>227</v>
      </c>
      <c r="G62" s="5"/>
      <c r="H62" s="5"/>
      <c r="I62" s="7"/>
      <c r="J62" s="7"/>
      <c r="K62" s="2"/>
      <c r="L62" s="13"/>
      <c r="M62" s="13"/>
      <c r="N62" s="14"/>
      <c r="O62" s="16"/>
      <c r="P62" s="16"/>
      <c r="Q62" s="16"/>
      <c r="R62" s="16"/>
      <c r="S62" s="16"/>
      <c r="U62" s="9">
        <v>0</v>
      </c>
      <c r="Y62" s="10" t="e">
        <f>VLOOKUP(Tabela3[[#This Row],[SISTEMA]],'[1]Resultado Geral'!$D$2:$J$171,7,0)</f>
        <v>#N/A</v>
      </c>
    </row>
    <row r="63" spans="1:26" ht="14.5" customHeight="1">
      <c r="A63" s="2">
        <v>268</v>
      </c>
      <c r="B63" s="2" t="str">
        <f>VLOOKUP(Tabela3[[#This Row],[COORDENAÇÃO]],[1]Mun!$D$1:$F$137,3,FALSE)</f>
        <v>Lote 2</v>
      </c>
      <c r="C63" s="5" t="str">
        <f>VLOOKUP(Tabela3[[#This Row],[COORDENAÇÃO]],[1]Mun!$D$1:$E$137,2,FALSE)</f>
        <v>GPR Agreste</v>
      </c>
      <c r="D63" s="5" t="s">
        <v>206</v>
      </c>
      <c r="E63" s="5" t="s">
        <v>228</v>
      </c>
      <c r="F63" s="12" t="s">
        <v>229</v>
      </c>
      <c r="G63" s="5"/>
      <c r="H63" s="5"/>
      <c r="I63" s="7"/>
      <c r="J63" s="7"/>
      <c r="K63" s="2"/>
      <c r="L63" s="13"/>
      <c r="M63" s="13"/>
      <c r="N63" s="14"/>
      <c r="O63" s="15"/>
      <c r="P63" s="16"/>
      <c r="Q63" s="16"/>
      <c r="R63" s="16"/>
      <c r="S63" s="16"/>
      <c r="U63" s="9">
        <v>23.5</v>
      </c>
      <c r="Y63" s="10" t="e">
        <f>VLOOKUP(Tabela3[[#This Row],[SISTEMA]],'[1]Resultado Geral'!$D$2:$J$171,7,0)</f>
        <v>#N/A</v>
      </c>
    </row>
    <row r="64" spans="1:26" ht="14.5" customHeight="1">
      <c r="A64" s="2">
        <v>102</v>
      </c>
      <c r="B64" s="2" t="str">
        <f>VLOOKUP(Tabela3[[#This Row],[COORDENAÇÃO]],[1]Mun!$D$1:$F$137,3,FALSE)</f>
        <v>Lote 3</v>
      </c>
      <c r="C64" s="5" t="str">
        <f>VLOOKUP(Tabela3[[#This Row],[COORDENAÇÃO]],[1]Mun!$D$1:$E$137,2,FALSE)</f>
        <v>GPR SERTAO</v>
      </c>
      <c r="D64" s="5" t="s">
        <v>230</v>
      </c>
      <c r="E64" s="5" t="s">
        <v>231</v>
      </c>
      <c r="F64" s="6" t="s">
        <v>232</v>
      </c>
      <c r="G64" s="5"/>
      <c r="H64" s="5" t="s">
        <v>233</v>
      </c>
      <c r="I64" s="7">
        <v>-8.6229999999999993</v>
      </c>
      <c r="J64" s="7">
        <v>-39.598999999999997</v>
      </c>
      <c r="K64" s="2" t="s">
        <v>39</v>
      </c>
      <c r="L64" s="8" t="s">
        <v>39</v>
      </c>
      <c r="M64" s="8"/>
      <c r="N64" s="2" t="s">
        <v>39</v>
      </c>
      <c r="O64" s="2"/>
      <c r="P64" s="2"/>
      <c r="Q64" s="2"/>
      <c r="R64" s="2"/>
      <c r="S64" s="2"/>
      <c r="U64" s="9">
        <v>171.9</v>
      </c>
      <c r="V64" s="5" t="s">
        <v>33</v>
      </c>
      <c r="W64" s="5" t="s">
        <v>32</v>
      </c>
      <c r="X64" s="5" t="s">
        <v>32</v>
      </c>
      <c r="Y64" s="10">
        <f>VLOOKUP(Tabela3[[#This Row],[SISTEMA]],'[1]Resultado Geral'!$D$2:$J$171,7,0)</f>
        <v>2.3518457037598707E-3</v>
      </c>
    </row>
    <row r="65" spans="1:25" ht="14.5" customHeight="1">
      <c r="A65" s="2">
        <v>216</v>
      </c>
      <c r="B65" s="2" t="str">
        <f>VLOOKUP(Tabela3[[#This Row],[COORDENAÇÃO]],[1]Mun!$D$1:$F$137,3,FALSE)</f>
        <v>Lote 2</v>
      </c>
      <c r="C65" s="5" t="str">
        <f>VLOOKUP(Tabela3[[#This Row],[COORDENAÇÃO]],[1]Mun!$D$1:$E$137,2,FALSE)</f>
        <v>GPR Agreste</v>
      </c>
      <c r="D65" s="5" t="s">
        <v>61</v>
      </c>
      <c r="E65" s="5" t="s">
        <v>234</v>
      </c>
      <c r="F65" s="6" t="s">
        <v>235</v>
      </c>
      <c r="G65" s="5"/>
      <c r="H65" s="5" t="s">
        <v>236</v>
      </c>
      <c r="I65" s="7"/>
      <c r="J65" s="7"/>
      <c r="K65" s="2">
        <v>1</v>
      </c>
      <c r="L65" s="8">
        <v>100</v>
      </c>
      <c r="M65" s="8"/>
      <c r="N65" s="14" t="s">
        <v>44</v>
      </c>
      <c r="O65" s="16"/>
      <c r="P65" s="16"/>
      <c r="Q65" s="16"/>
      <c r="R65" s="16"/>
      <c r="S65" s="16"/>
      <c r="U65" s="9">
        <v>355</v>
      </c>
      <c r="X65" s="5" t="s">
        <v>44</v>
      </c>
      <c r="Y65" s="10">
        <f>VLOOKUP(Tabela3[[#This Row],[SISTEMA]],'[1]Resultado Geral'!$D$2:$J$171,7,0)</f>
        <v>1.9002567500414361E-4</v>
      </c>
    </row>
    <row r="66" spans="1:25" ht="14.5" customHeight="1">
      <c r="A66" s="2">
        <v>235</v>
      </c>
      <c r="B66" s="2" t="str">
        <f>VLOOKUP(Tabela3[[#This Row],[COORDENAÇÃO]],[1]Mun!$D$1:$F$137,3,FALSE)</f>
        <v>Lote 2</v>
      </c>
      <c r="C66" s="5" t="str">
        <f>VLOOKUP(Tabela3[[#This Row],[COORDENAÇÃO]],[1]Mun!$D$1:$E$137,2,FALSE)</f>
        <v>GPR Agreste</v>
      </c>
      <c r="D66" s="5" t="s">
        <v>61</v>
      </c>
      <c r="E66" s="5" t="s">
        <v>237</v>
      </c>
      <c r="F66" s="6" t="s">
        <v>238</v>
      </c>
      <c r="G66" s="5"/>
      <c r="H66" s="5" t="s">
        <v>239</v>
      </c>
      <c r="I66" s="7"/>
      <c r="J66" s="7"/>
      <c r="K66" s="2">
        <v>1</v>
      </c>
      <c r="L66" s="8">
        <v>100</v>
      </c>
      <c r="M66" s="8"/>
      <c r="N66" s="14" t="s">
        <v>44</v>
      </c>
      <c r="O66" s="16"/>
      <c r="P66" s="16"/>
      <c r="Q66" s="16"/>
      <c r="R66" s="16"/>
      <c r="S66" s="16"/>
      <c r="U66" s="9">
        <v>374.6</v>
      </c>
      <c r="X66" s="5" t="s">
        <v>44</v>
      </c>
      <c r="Y66" s="10">
        <f>VLOOKUP(Tabela3[[#This Row],[SISTEMA]],'[1]Resultado Geral'!$D$2:$J$171,7,0)</f>
        <v>2.1882551152405626E-4</v>
      </c>
    </row>
    <row r="67" spans="1:25" ht="14.5" customHeight="1">
      <c r="A67" s="2">
        <v>37</v>
      </c>
      <c r="B67" s="2" t="str">
        <f>VLOOKUP(Tabela3[[#This Row],[COORDENAÇÃO]],[1]Mun!$D$1:$F$137,3,FALSE)</f>
        <v>Lote 3</v>
      </c>
      <c r="C67" s="5" t="str">
        <f>VLOOKUP(Tabela3[[#This Row],[COORDENAÇÃO]],[1]Mun!$D$1:$E$137,2,FALSE)</f>
        <v>GPR SERTAO</v>
      </c>
      <c r="D67" s="5" t="s">
        <v>53</v>
      </c>
      <c r="E67" s="5" t="s">
        <v>54</v>
      </c>
      <c r="F67" s="6" t="s">
        <v>55</v>
      </c>
      <c r="G67" s="25" t="s">
        <v>240</v>
      </c>
      <c r="H67" s="5" t="s">
        <v>241</v>
      </c>
      <c r="I67" s="7">
        <v>-8.1249400000000005</v>
      </c>
      <c r="J67" s="7">
        <v>-37.441830000000003</v>
      </c>
      <c r="K67" s="2">
        <v>1</v>
      </c>
      <c r="L67" s="8">
        <v>600</v>
      </c>
      <c r="M67" s="8"/>
      <c r="N67" s="2" t="s">
        <v>32</v>
      </c>
      <c r="O67" s="2" t="s">
        <v>132</v>
      </c>
      <c r="P67" s="2"/>
      <c r="Q67" s="2" t="s">
        <v>44</v>
      </c>
      <c r="R67" s="2"/>
      <c r="S67" s="2"/>
      <c r="U67" s="9">
        <v>256</v>
      </c>
      <c r="V67" s="5" t="s">
        <v>33</v>
      </c>
      <c r="W67" s="5" t="s">
        <v>32</v>
      </c>
      <c r="X67" s="5" t="s">
        <v>44</v>
      </c>
      <c r="Y67" s="10">
        <f>VLOOKUP(Tabela3[[#This Row],[SISTEMA]],'[1]Resultado Geral'!$D$2:$J$171,7,0)</f>
        <v>9.7098288633171558E-3</v>
      </c>
    </row>
    <row r="68" spans="1:25" ht="14.5" customHeight="1">
      <c r="A68" s="2">
        <v>257</v>
      </c>
      <c r="B68" s="2" t="str">
        <f>VLOOKUP(Tabela3[[#This Row],[COORDENAÇÃO]],[1]Mun!$D$1:$F$137,3,FALSE)</f>
        <v>Lote 2</v>
      </c>
      <c r="C68" s="5" t="str">
        <f>VLOOKUP(Tabela3[[#This Row],[COORDENAÇÃO]],[1]Mun!$D$1:$E$137,2,FALSE)</f>
        <v>GPR Agreste</v>
      </c>
      <c r="D68" s="5" t="s">
        <v>206</v>
      </c>
      <c r="E68" s="5" t="s">
        <v>226</v>
      </c>
      <c r="F68" s="17" t="s">
        <v>242</v>
      </c>
      <c r="G68" s="5"/>
      <c r="H68" s="5" t="s">
        <v>243</v>
      </c>
      <c r="I68" s="7">
        <v>-8.3031570869999296</v>
      </c>
      <c r="J68" s="7">
        <v>-36.044234635000002</v>
      </c>
      <c r="K68" s="2"/>
      <c r="L68" s="13"/>
      <c r="M68" s="13"/>
      <c r="N68" s="14"/>
      <c r="O68" s="16"/>
      <c r="P68" s="16"/>
      <c r="Q68" s="16"/>
      <c r="R68" s="16"/>
      <c r="S68" s="16"/>
      <c r="U68" s="9">
        <v>0</v>
      </c>
      <c r="Y68" s="10" t="e">
        <f>VLOOKUP(Tabela3[[#This Row],[SISTEMA]],'[1]Resultado Geral'!$D$2:$J$171,7,0)</f>
        <v>#N/A</v>
      </c>
    </row>
    <row r="69" spans="1:25" ht="14.5" customHeight="1">
      <c r="A69" s="2">
        <v>154</v>
      </c>
      <c r="B69" s="2" t="str">
        <f>VLOOKUP(Tabela3[[#This Row],[COORDENAÇÃO]],[1]Mun!$D$1:$F$137,3,FALSE)</f>
        <v>Lote 2</v>
      </c>
      <c r="C69" s="5" t="str">
        <f>VLOOKUP(Tabela3[[#This Row],[COORDENAÇÃO]],[1]Mun!$D$1:$E$137,2,FALSE)</f>
        <v>GPR Agreste</v>
      </c>
      <c r="D69" s="5" t="s">
        <v>77</v>
      </c>
      <c r="E69" s="5" t="s">
        <v>244</v>
      </c>
      <c r="F69" s="6" t="s">
        <v>245</v>
      </c>
      <c r="G69" s="5"/>
      <c r="H69" s="5" t="s">
        <v>246</v>
      </c>
      <c r="I69" s="7"/>
      <c r="J69" s="7"/>
      <c r="K69" s="2">
        <v>1</v>
      </c>
      <c r="L69" s="8">
        <v>150</v>
      </c>
      <c r="M69" s="8"/>
      <c r="N69" s="11" t="s">
        <v>44</v>
      </c>
      <c r="O69" s="2"/>
      <c r="P69" s="2"/>
      <c r="Q69" s="2"/>
      <c r="R69" s="2"/>
      <c r="S69" s="2"/>
      <c r="U69" s="9">
        <v>67.400000000000006</v>
      </c>
      <c r="X69" s="5" t="s">
        <v>44</v>
      </c>
      <c r="Y69" s="10">
        <f>VLOOKUP(Tabela3[[#This Row],[SISTEMA]],'[1]Resultado Geral'!$D$2:$J$171,7,0)</f>
        <v>8.3117048583895815E-4</v>
      </c>
    </row>
    <row r="70" spans="1:25">
      <c r="A70" s="2">
        <v>58</v>
      </c>
      <c r="B70" s="2" t="str">
        <f>VLOOKUP(Tabela3[[#This Row],[COORDENAÇÃO]],[1]Mun!$D$1:$F$137,3,FALSE)</f>
        <v>Lote 2</v>
      </c>
      <c r="C70" s="5" t="str">
        <f>VLOOKUP(Tabela3[[#This Row],[COORDENAÇÃO]],[1]Mun!$D$1:$E$137,2,FALSE)</f>
        <v>GPR Agreste</v>
      </c>
      <c r="D70" s="5" t="s">
        <v>27</v>
      </c>
      <c r="E70" s="5" t="s">
        <v>181</v>
      </c>
      <c r="F70" s="6" t="s">
        <v>182</v>
      </c>
      <c r="G70" s="5"/>
      <c r="H70" s="5" t="s">
        <v>247</v>
      </c>
      <c r="I70" s="7"/>
      <c r="J70" s="7"/>
      <c r="K70" s="2">
        <v>1</v>
      </c>
      <c r="L70" s="8">
        <v>150</v>
      </c>
      <c r="M70" s="8"/>
      <c r="N70" s="11" t="s">
        <v>44</v>
      </c>
      <c r="O70" s="2"/>
      <c r="P70" s="2"/>
      <c r="Q70" s="2" t="s">
        <v>99</v>
      </c>
      <c r="R70" s="2"/>
      <c r="S70" s="2"/>
      <c r="U70" s="9">
        <v>85.4</v>
      </c>
      <c r="V70" s="5" t="s">
        <v>33</v>
      </c>
      <c r="X70" s="5" t="s">
        <v>44</v>
      </c>
      <c r="Y70" s="10">
        <f>VLOOKUP(Tabela3[[#This Row],[SISTEMA]],'[1]Resultado Geral'!$D$2:$J$171,7,0)</f>
        <v>3.5122332441510874E-3</v>
      </c>
    </row>
    <row r="71" spans="1:25">
      <c r="A71" s="2">
        <v>218</v>
      </c>
      <c r="B71" s="2" t="str">
        <f>VLOOKUP(Tabela3[[#This Row],[COORDENAÇÃO]],[1]Mun!$D$1:$F$137,3,FALSE)</f>
        <v>Lote 2</v>
      </c>
      <c r="C71" s="5" t="str">
        <f>VLOOKUP(Tabela3[[#This Row],[COORDENAÇÃO]],[1]Mun!$D$1:$E$137,2,FALSE)</f>
        <v>GPR Agreste</v>
      </c>
      <c r="D71" s="5" t="s">
        <v>210</v>
      </c>
      <c r="E71" s="5" t="s">
        <v>248</v>
      </c>
      <c r="F71" s="6" t="s">
        <v>249</v>
      </c>
      <c r="G71" s="5"/>
      <c r="H71" s="5" t="s">
        <v>250</v>
      </c>
      <c r="I71" s="26">
        <v>-8.6663530000000009</v>
      </c>
      <c r="J71" s="26">
        <v>-35.831580000000002</v>
      </c>
      <c r="K71" s="2" t="s">
        <v>39</v>
      </c>
      <c r="L71" s="8" t="s">
        <v>39</v>
      </c>
      <c r="M71" s="8"/>
      <c r="N71" s="16" t="s">
        <v>39</v>
      </c>
      <c r="O71" s="16"/>
      <c r="P71" s="16"/>
      <c r="Q71" s="16"/>
      <c r="R71" s="16"/>
      <c r="S71" s="16"/>
      <c r="U71" s="9">
        <v>54.7</v>
      </c>
      <c r="X71" s="5" t="s">
        <v>44</v>
      </c>
      <c r="Y71" s="10">
        <f>VLOOKUP(Tabela3[[#This Row],[SISTEMA]],'[1]Resultado Geral'!$D$2:$J$171,7,0)</f>
        <v>3.5604992018206747E-4</v>
      </c>
    </row>
    <row r="72" spans="1:25" ht="14.5" customHeight="1">
      <c r="A72" s="2">
        <v>241</v>
      </c>
      <c r="B72" s="2" t="str">
        <f>VLOOKUP(Tabela3[[#This Row],[COORDENAÇÃO]],[1]Mun!$D$1:$F$137,3,FALSE)</f>
        <v>Lote 2</v>
      </c>
      <c r="C72" s="5" t="str">
        <f>VLOOKUP(Tabela3[[#This Row],[COORDENAÇÃO]],[1]Mun!$D$1:$E$137,2,FALSE)</f>
        <v>GPR Agreste</v>
      </c>
      <c r="D72" s="5" t="s">
        <v>210</v>
      </c>
      <c r="E72" s="5" t="s">
        <v>248</v>
      </c>
      <c r="F72" s="6" t="s">
        <v>251</v>
      </c>
      <c r="G72" s="5"/>
      <c r="H72" s="5" t="s">
        <v>209</v>
      </c>
      <c r="I72" s="7">
        <v>-8.5239999999999991</v>
      </c>
      <c r="J72" s="7">
        <v>-35.838000000000001</v>
      </c>
      <c r="K72" s="2" t="s">
        <v>39</v>
      </c>
      <c r="L72" s="8" t="s">
        <v>39</v>
      </c>
      <c r="M72" s="8"/>
      <c r="N72" s="16" t="s">
        <v>39</v>
      </c>
      <c r="O72" s="16"/>
      <c r="P72" s="16"/>
      <c r="Q72" s="16"/>
      <c r="R72" s="16"/>
      <c r="S72" s="16"/>
      <c r="U72" s="9">
        <v>54.7</v>
      </c>
      <c r="V72" s="5" t="s">
        <v>33</v>
      </c>
      <c r="X72" s="5" t="s">
        <v>44</v>
      </c>
      <c r="Y72" s="10">
        <f>VLOOKUP(Tabela3[[#This Row],[SISTEMA]],'[1]Resultado Geral'!$D$2:$J$171,7,0)</f>
        <v>1.9037381005897647E-4</v>
      </c>
    </row>
    <row r="73" spans="1:25" ht="14.5" customHeight="1">
      <c r="A73" s="2">
        <v>82</v>
      </c>
      <c r="B73" s="2" t="str">
        <f>VLOOKUP(Tabela3[[#This Row],[COORDENAÇÃO]],[1]Mun!$D$1:$F$137,3,FALSE)</f>
        <v>Lote 2</v>
      </c>
      <c r="C73" s="5" t="str">
        <f>VLOOKUP(Tabela3[[#This Row],[COORDENAÇÃO]],[1]Mun!$D$1:$E$137,2,FALSE)</f>
        <v>GPR Agreste</v>
      </c>
      <c r="D73" s="5" t="s">
        <v>27</v>
      </c>
      <c r="E73" s="5" t="s">
        <v>28</v>
      </c>
      <c r="F73" s="6" t="s">
        <v>130</v>
      </c>
      <c r="G73" s="5" t="s">
        <v>240</v>
      </c>
      <c r="H73" s="5" t="s">
        <v>252</v>
      </c>
      <c r="I73" s="7">
        <v>-8.3131830000000004</v>
      </c>
      <c r="J73" s="7">
        <v>-36.937334999999997</v>
      </c>
      <c r="K73" s="2" t="s">
        <v>39</v>
      </c>
      <c r="L73" s="8" t="s">
        <v>39</v>
      </c>
      <c r="M73" s="8"/>
      <c r="N73" s="2" t="s">
        <v>39</v>
      </c>
      <c r="O73" s="2" t="s">
        <v>197</v>
      </c>
      <c r="P73" s="2"/>
      <c r="Q73" s="2" t="s">
        <v>44</v>
      </c>
      <c r="R73" s="2"/>
      <c r="S73" s="2"/>
      <c r="U73" s="9">
        <v>55.7</v>
      </c>
      <c r="V73" s="5" t="s">
        <v>33</v>
      </c>
      <c r="W73" s="5" t="s">
        <v>32</v>
      </c>
      <c r="X73" s="5" t="s">
        <v>44</v>
      </c>
      <c r="Y73" s="10">
        <f>VLOOKUP(Tabela3[[#This Row],[SISTEMA]],'[1]Resultado Geral'!$D$2:$J$171,7,0)</f>
        <v>1.2784762664806139E-2</v>
      </c>
    </row>
    <row r="74" spans="1:25" ht="14.5" customHeight="1">
      <c r="A74" s="2">
        <v>209</v>
      </c>
      <c r="B74" s="2" t="str">
        <f>VLOOKUP(Tabela3[[#This Row],[COORDENAÇÃO]],[1]Mun!$D$1:$F$137,3,FALSE)</f>
        <v>Lote 2</v>
      </c>
      <c r="C74" s="5" t="str">
        <f>VLOOKUP(Tabela3[[#This Row],[COORDENAÇÃO]],[1]Mun!$D$1:$E$137,2,FALSE)</f>
        <v>GPR Agreste</v>
      </c>
      <c r="D74" s="5" t="s">
        <v>27</v>
      </c>
      <c r="E74" s="5" t="s">
        <v>253</v>
      </c>
      <c r="F74" s="6" t="s">
        <v>254</v>
      </c>
      <c r="G74" s="5"/>
      <c r="H74" s="5" t="s">
        <v>255</v>
      </c>
      <c r="I74" s="7"/>
      <c r="J74" s="7"/>
      <c r="K74" s="2">
        <v>1</v>
      </c>
      <c r="L74" s="8">
        <v>150</v>
      </c>
      <c r="M74" s="8"/>
      <c r="N74" s="14" t="s">
        <v>44</v>
      </c>
      <c r="O74" s="16"/>
      <c r="P74" s="16"/>
      <c r="Q74" s="16"/>
      <c r="R74" s="16"/>
      <c r="S74" s="16"/>
      <c r="U74" s="9">
        <v>70.400000000000006</v>
      </c>
      <c r="X74" s="5" t="s">
        <v>44</v>
      </c>
      <c r="Y74" s="10">
        <f>VLOOKUP(Tabela3[[#This Row],[SISTEMA]],'[1]Resultado Geral'!$D$2:$J$171,7,0)</f>
        <v>4.0409036526552807E-4</v>
      </c>
    </row>
    <row r="75" spans="1:25" ht="14.5" customHeight="1">
      <c r="A75" s="2">
        <v>237</v>
      </c>
      <c r="B75" s="2" t="str">
        <f>VLOOKUP(Tabela3[[#This Row],[COORDENAÇÃO]],[1]Mun!$D$1:$F$137,3,FALSE)</f>
        <v>Lote 2</v>
      </c>
      <c r="C75" s="5" t="str">
        <f>VLOOKUP(Tabela3[[#This Row],[COORDENAÇÃO]],[1]Mun!$D$1:$E$137,2,FALSE)</f>
        <v>GPR Agreste</v>
      </c>
      <c r="D75" s="5" t="s">
        <v>27</v>
      </c>
      <c r="E75" s="5" t="s">
        <v>181</v>
      </c>
      <c r="F75" s="6" t="s">
        <v>256</v>
      </c>
      <c r="G75" s="5"/>
      <c r="H75" s="5" t="s">
        <v>257</v>
      </c>
      <c r="I75" s="7"/>
      <c r="J75" s="7"/>
      <c r="K75" s="2">
        <v>1</v>
      </c>
      <c r="L75" s="8">
        <v>150</v>
      </c>
      <c r="M75" s="8"/>
      <c r="N75" s="14" t="s">
        <v>44</v>
      </c>
      <c r="O75" s="16"/>
      <c r="P75" s="16"/>
      <c r="Q75" s="16"/>
      <c r="R75" s="16"/>
      <c r="S75" s="16"/>
      <c r="U75" s="9">
        <v>85.4</v>
      </c>
      <c r="X75" s="5" t="s">
        <v>44</v>
      </c>
      <c r="Y75" s="10">
        <f>VLOOKUP(Tabela3[[#This Row],[SISTEMA]],'[1]Resultado Geral'!$D$2:$J$171,7,0)</f>
        <v>3.8576746764274513E-4</v>
      </c>
    </row>
    <row r="76" spans="1:25" ht="14.5" customHeight="1">
      <c r="A76" s="2">
        <v>199</v>
      </c>
      <c r="B76" s="2" t="str">
        <f>VLOOKUP(Tabela3[[#This Row],[COORDENAÇÃO]],[1]Mun!$D$1:$F$137,3,FALSE)</f>
        <v>Lote 2</v>
      </c>
      <c r="C76" s="5" t="str">
        <f>VLOOKUP(Tabela3[[#This Row],[COORDENAÇÃO]],[1]Mun!$D$1:$E$137,2,FALSE)</f>
        <v>GPR Agreste</v>
      </c>
      <c r="D76" s="5" t="s">
        <v>27</v>
      </c>
      <c r="E76" s="5" t="s">
        <v>28</v>
      </c>
      <c r="F76" s="6" t="s">
        <v>258</v>
      </c>
      <c r="G76" s="5"/>
      <c r="H76" s="5" t="s">
        <v>259</v>
      </c>
      <c r="I76" s="7">
        <v>-8.24831</v>
      </c>
      <c r="J76" s="7">
        <v>-36.37509</v>
      </c>
      <c r="K76" s="2">
        <v>1</v>
      </c>
      <c r="L76" s="8">
        <v>150</v>
      </c>
      <c r="M76" s="8"/>
      <c r="N76" s="14" t="s">
        <v>44</v>
      </c>
      <c r="O76" s="16"/>
      <c r="P76" s="16"/>
      <c r="Q76" s="16"/>
      <c r="R76" s="16"/>
      <c r="S76" s="16"/>
      <c r="U76" s="9">
        <v>55.7</v>
      </c>
      <c r="W76" s="5" t="s">
        <v>32</v>
      </c>
      <c r="X76" s="5" t="s">
        <v>44</v>
      </c>
      <c r="Y76" s="10">
        <f>VLOOKUP(Tabela3[[#This Row],[SISTEMA]],'[1]Resultado Geral'!$D$2:$J$171,7,0)</f>
        <v>3.8562652227641604E-4</v>
      </c>
    </row>
    <row r="77" spans="1:25" ht="14.5" customHeight="1">
      <c r="A77" s="2">
        <v>217</v>
      </c>
      <c r="B77" s="2" t="str">
        <f>VLOOKUP(Tabela3[[#This Row],[COORDENAÇÃO]],[1]Mun!$D$1:$F$137,3,FALSE)</f>
        <v>Lote 2</v>
      </c>
      <c r="C77" s="5" t="str">
        <f>VLOOKUP(Tabela3[[#This Row],[COORDENAÇÃO]],[1]Mun!$D$1:$E$137,2,FALSE)</f>
        <v>GPR Agreste</v>
      </c>
      <c r="D77" s="5" t="s">
        <v>210</v>
      </c>
      <c r="E77" s="5" t="s">
        <v>248</v>
      </c>
      <c r="F77" s="6" t="s">
        <v>249</v>
      </c>
      <c r="G77" s="5"/>
      <c r="H77" s="5" t="s">
        <v>260</v>
      </c>
      <c r="I77" s="7"/>
      <c r="J77" s="7"/>
      <c r="K77" s="2">
        <v>1</v>
      </c>
      <c r="L77" s="8">
        <v>150</v>
      </c>
      <c r="M77" s="8"/>
      <c r="N77" s="14" t="s">
        <v>44</v>
      </c>
      <c r="O77" s="16"/>
      <c r="P77" s="16"/>
      <c r="Q77" s="16"/>
      <c r="R77" s="16"/>
      <c r="S77" s="16"/>
      <c r="U77" s="9">
        <v>54.7</v>
      </c>
      <c r="X77" s="5" t="s">
        <v>44</v>
      </c>
      <c r="Y77" s="10">
        <f>VLOOKUP(Tabela3[[#This Row],[SISTEMA]],'[1]Resultado Geral'!$D$2:$J$171,7,0)</f>
        <v>3.5604992018206747E-4</v>
      </c>
    </row>
    <row r="78" spans="1:25" ht="14.5" customHeight="1">
      <c r="A78" s="2">
        <v>220</v>
      </c>
      <c r="B78" s="2" t="str">
        <f>VLOOKUP(Tabela3[[#This Row],[COORDENAÇÃO]],[1]Mun!$D$1:$F$137,3,FALSE)</f>
        <v>Lote 2</v>
      </c>
      <c r="C78" s="5" t="str">
        <f>VLOOKUP(Tabela3[[#This Row],[COORDENAÇÃO]],[1]Mun!$D$1:$E$137,2,FALSE)</f>
        <v>GPR Agreste</v>
      </c>
      <c r="D78" s="5" t="s">
        <v>210</v>
      </c>
      <c r="E78" s="5" t="s">
        <v>261</v>
      </c>
      <c r="F78" s="6" t="s">
        <v>262</v>
      </c>
      <c r="G78" s="5"/>
      <c r="H78" s="5" t="s">
        <v>263</v>
      </c>
      <c r="I78" s="7"/>
      <c r="J78" s="7"/>
      <c r="K78" s="2">
        <v>1</v>
      </c>
      <c r="L78" s="8">
        <v>150</v>
      </c>
      <c r="M78" s="8"/>
      <c r="N78" s="14" t="s">
        <v>44</v>
      </c>
      <c r="O78" s="16"/>
      <c r="P78" s="16"/>
      <c r="Q78" s="16"/>
      <c r="R78" s="16"/>
      <c r="S78" s="16"/>
      <c r="U78" s="9">
        <v>83.7</v>
      </c>
      <c r="X78" s="5" t="s">
        <v>44</v>
      </c>
      <c r="Y78" s="10">
        <f>VLOOKUP(Tabela3[[#This Row],[SISTEMA]],'[1]Resultado Geral'!$D$2:$J$171,7,0)</f>
        <v>3.2007157954905117E-4</v>
      </c>
    </row>
    <row r="79" spans="1:25" ht="14.5" customHeight="1">
      <c r="A79" s="2">
        <v>203</v>
      </c>
      <c r="B79" s="2" t="str">
        <f>VLOOKUP(Tabela3[[#This Row],[COORDENAÇÃO]],[1]Mun!$D$1:$F$137,3,FALSE)</f>
        <v>Lote 2</v>
      </c>
      <c r="C79" s="5" t="str">
        <f>VLOOKUP(Tabela3[[#This Row],[COORDENAÇÃO]],[1]Mun!$D$1:$E$137,2,FALSE)</f>
        <v>GPR Agreste</v>
      </c>
      <c r="D79" s="5" t="s">
        <v>210</v>
      </c>
      <c r="E79" s="5" t="s">
        <v>264</v>
      </c>
      <c r="F79" s="6" t="s">
        <v>265</v>
      </c>
      <c r="G79" s="5"/>
      <c r="H79" s="5" t="s">
        <v>266</v>
      </c>
      <c r="I79" s="7"/>
      <c r="J79" s="7"/>
      <c r="K79" s="2">
        <v>1</v>
      </c>
      <c r="L79" s="8">
        <v>150</v>
      </c>
      <c r="M79" s="8"/>
      <c r="N79" s="14" t="s">
        <v>44</v>
      </c>
      <c r="O79" s="16"/>
      <c r="P79" s="16"/>
      <c r="Q79" s="16"/>
      <c r="R79" s="16"/>
      <c r="S79" s="16"/>
      <c r="U79" s="9">
        <v>83.7</v>
      </c>
      <c r="X79" s="5" t="s">
        <v>44</v>
      </c>
      <c r="Y79" s="10">
        <f>VLOOKUP(Tabela3[[#This Row],[SISTEMA]],'[1]Resultado Geral'!$D$2:$J$171,7,0)</f>
        <v>4.4090842706994061E-4</v>
      </c>
    </row>
    <row r="80" spans="1:25" ht="14.5" customHeight="1">
      <c r="A80" s="2">
        <v>87</v>
      </c>
      <c r="B80" s="2" t="str">
        <f>VLOOKUP(Tabela3[[#This Row],[COORDENAÇÃO]],[1]Mun!$D$1:$F$137,3,FALSE)</f>
        <v>Lote 2</v>
      </c>
      <c r="C80" s="5" t="str">
        <f>VLOOKUP(Tabela3[[#This Row],[COORDENAÇÃO]],[1]Mun!$D$1:$E$137,2,FALSE)</f>
        <v>GPR Agreste</v>
      </c>
      <c r="D80" s="5" t="s">
        <v>210</v>
      </c>
      <c r="E80" s="5" t="s">
        <v>267</v>
      </c>
      <c r="F80" s="6" t="s">
        <v>268</v>
      </c>
      <c r="G80" s="5"/>
      <c r="H80" s="5" t="s">
        <v>269</v>
      </c>
      <c r="I80" s="7"/>
      <c r="J80" s="7"/>
      <c r="K80" s="2">
        <v>1</v>
      </c>
      <c r="L80" s="8">
        <v>150</v>
      </c>
      <c r="M80" s="8"/>
      <c r="N80" s="11" t="s">
        <v>44</v>
      </c>
      <c r="O80" s="2"/>
      <c r="P80" s="2"/>
      <c r="Q80" s="2" t="s">
        <v>44</v>
      </c>
      <c r="R80" s="2"/>
      <c r="S80" s="2"/>
      <c r="U80" s="9">
        <v>63.8</v>
      </c>
      <c r="V80" s="5" t="s">
        <v>33</v>
      </c>
      <c r="X80" s="5" t="s">
        <v>44</v>
      </c>
      <c r="Y80" s="10">
        <f>VLOOKUP(Tabela3[[#This Row],[SISTEMA]],'[1]Resultado Geral'!$D$2:$J$171,7,0)</f>
        <v>2.9582239909001738E-3</v>
      </c>
    </row>
    <row r="81" spans="1:25">
      <c r="A81" s="2">
        <v>97</v>
      </c>
      <c r="B81" s="2" t="str">
        <f>VLOOKUP(Tabela3[[#This Row],[COORDENAÇÃO]],[1]Mun!$D$1:$F$137,3,FALSE)</f>
        <v>Lote 2</v>
      </c>
      <c r="C81" s="5" t="str">
        <f>VLOOKUP(Tabela3[[#This Row],[COORDENAÇÃO]],[1]Mun!$D$1:$E$137,2,FALSE)</f>
        <v>GPR Agreste</v>
      </c>
      <c r="D81" s="5" t="s">
        <v>210</v>
      </c>
      <c r="E81" s="5" t="s">
        <v>270</v>
      </c>
      <c r="F81" s="6" t="s">
        <v>271</v>
      </c>
      <c r="G81" s="5"/>
      <c r="H81" s="5" t="s">
        <v>272</v>
      </c>
      <c r="I81" s="7">
        <v>-7.9648500000000002</v>
      </c>
      <c r="J81" s="7">
        <v>-35.738700000000001</v>
      </c>
      <c r="K81" s="2" t="s">
        <v>39</v>
      </c>
      <c r="L81" s="8" t="s">
        <v>39</v>
      </c>
      <c r="M81" s="8"/>
      <c r="N81" s="2" t="s">
        <v>39</v>
      </c>
      <c r="O81" s="2" t="s">
        <v>273</v>
      </c>
      <c r="P81" s="2"/>
      <c r="Q81" s="2" t="s">
        <v>44</v>
      </c>
      <c r="R81" s="2"/>
      <c r="S81" s="2"/>
      <c r="U81" s="9">
        <v>36.6</v>
      </c>
      <c r="V81" s="5" t="s">
        <v>33</v>
      </c>
      <c r="W81" s="5" t="s">
        <v>32</v>
      </c>
      <c r="X81" s="5" t="s">
        <v>32</v>
      </c>
      <c r="Y81" s="10">
        <f>VLOOKUP(Tabela3[[#This Row],[SISTEMA]],'[1]Resultado Geral'!$D$2:$J$171,7,0)</f>
        <v>7.5144608618618125E-3</v>
      </c>
    </row>
    <row r="82" spans="1:25">
      <c r="A82" s="2">
        <v>94</v>
      </c>
      <c r="B82" s="2" t="str">
        <f>VLOOKUP(Tabela3[[#This Row],[COORDENAÇÃO]],[1]Mun!$D$1:$F$137,3,FALSE)</f>
        <v>Lote 3</v>
      </c>
      <c r="C82" s="5" t="str">
        <f>VLOOKUP(Tabela3[[#This Row],[COORDENAÇÃO]],[1]Mun!$D$1:$E$137,2,FALSE)</f>
        <v>GPR SERTAO</v>
      </c>
      <c r="D82" s="5" t="s">
        <v>230</v>
      </c>
      <c r="E82" s="5" t="s">
        <v>274</v>
      </c>
      <c r="F82" s="6" t="s">
        <v>275</v>
      </c>
      <c r="G82" s="5"/>
      <c r="H82" s="5" t="s">
        <v>233</v>
      </c>
      <c r="I82" s="7">
        <v>-8.6229999999999993</v>
      </c>
      <c r="J82" s="7">
        <v>-39.598999999999997</v>
      </c>
      <c r="K82" s="2">
        <v>1</v>
      </c>
      <c r="L82" s="8">
        <v>700</v>
      </c>
      <c r="M82" s="8"/>
      <c r="N82" s="2" t="s">
        <v>32</v>
      </c>
      <c r="O82" s="2"/>
      <c r="P82" s="2"/>
      <c r="Q82" s="2"/>
      <c r="R82" s="2"/>
      <c r="S82" s="2"/>
      <c r="U82" s="9">
        <v>131.1</v>
      </c>
      <c r="V82" s="5" t="s">
        <v>33</v>
      </c>
      <c r="X82" s="5" t="s">
        <v>32</v>
      </c>
      <c r="Y82" s="10">
        <f>VLOOKUP(Tabela3[[#This Row],[SISTEMA]],'[1]Resultado Geral'!$D$2:$J$171,7,0)</f>
        <v>3.0020110180397474E-3</v>
      </c>
    </row>
    <row r="83" spans="1:25">
      <c r="A83" s="2">
        <v>197</v>
      </c>
      <c r="B83" s="2" t="str">
        <f>VLOOKUP(Tabela3[[#This Row],[COORDENAÇÃO]],[1]Mun!$D$1:$F$137,3,FALSE)</f>
        <v>Lote 2</v>
      </c>
      <c r="C83" s="5" t="str">
        <f>VLOOKUP(Tabela3[[#This Row],[COORDENAÇÃO]],[1]Mun!$D$1:$E$137,2,FALSE)</f>
        <v>GPR Agreste</v>
      </c>
      <c r="D83" s="5" t="s">
        <v>210</v>
      </c>
      <c r="E83" s="5" t="s">
        <v>276</v>
      </c>
      <c r="F83" s="6" t="s">
        <v>277</v>
      </c>
      <c r="G83" s="5"/>
      <c r="H83" s="5" t="s">
        <v>252</v>
      </c>
      <c r="I83" s="7">
        <v>-8.3131830000000004</v>
      </c>
      <c r="J83" s="7">
        <v>-36.937334999999997</v>
      </c>
      <c r="K83" s="2">
        <v>1</v>
      </c>
      <c r="L83" s="8">
        <v>150</v>
      </c>
      <c r="M83" s="8"/>
      <c r="N83" s="14" t="s">
        <v>44</v>
      </c>
      <c r="O83" s="16"/>
      <c r="P83" s="16"/>
      <c r="Q83" s="16"/>
      <c r="R83" s="16"/>
      <c r="S83" s="16"/>
      <c r="U83" s="9">
        <v>46</v>
      </c>
      <c r="V83" s="5" t="s">
        <v>33</v>
      </c>
      <c r="X83" s="5" t="s">
        <v>44</v>
      </c>
      <c r="Y83" s="10">
        <f>VLOOKUP(Tabela3[[#This Row],[SISTEMA]],'[1]Resultado Geral'!$D$2:$J$171,7,0)</f>
        <v>4.0095824601377031E-4</v>
      </c>
    </row>
    <row r="84" spans="1:25">
      <c r="A84" s="2">
        <v>115</v>
      </c>
      <c r="B84" s="2" t="str">
        <f>VLOOKUP(Tabela3[[#This Row],[COORDENAÇÃO]],[1]Mun!$D$1:$F$137,3,FALSE)</f>
        <v>Lote 2</v>
      </c>
      <c r="C84" s="5" t="str">
        <f>VLOOKUP(Tabela3[[#This Row],[COORDENAÇÃO]],[1]Mun!$D$1:$E$137,2,FALSE)</f>
        <v>GPR Agreste</v>
      </c>
      <c r="D84" s="5" t="s">
        <v>61</v>
      </c>
      <c r="E84" s="5" t="s">
        <v>62</v>
      </c>
      <c r="F84" s="6" t="s">
        <v>63</v>
      </c>
      <c r="G84" s="5" t="s">
        <v>64</v>
      </c>
      <c r="H84" s="5" t="s">
        <v>278</v>
      </c>
      <c r="I84" s="7"/>
      <c r="J84" s="7"/>
      <c r="K84" s="2">
        <v>1</v>
      </c>
      <c r="L84" s="8">
        <v>150</v>
      </c>
      <c r="M84" s="8"/>
      <c r="N84" s="11" t="s">
        <v>44</v>
      </c>
      <c r="O84" s="2"/>
      <c r="P84" s="2"/>
      <c r="Q84" s="2"/>
      <c r="R84" s="2"/>
      <c r="S84" s="2"/>
      <c r="U84" s="9">
        <v>391.5</v>
      </c>
      <c r="X84" s="5" t="s">
        <v>44</v>
      </c>
      <c r="Y84" s="10">
        <f>VLOOKUP(Tabela3[[#This Row],[SISTEMA]],'[1]Resultado Geral'!$D$2:$J$171,7,0)</f>
        <v>1.9807611413514784E-3</v>
      </c>
    </row>
    <row r="85" spans="1:25" ht="14.5" customHeight="1">
      <c r="A85" s="2">
        <v>116</v>
      </c>
      <c r="B85" s="2" t="str">
        <f>VLOOKUP(Tabela3[[#This Row],[COORDENAÇÃO]],[1]Mun!$D$1:$F$137,3,FALSE)</f>
        <v>Lote 2</v>
      </c>
      <c r="C85" s="5" t="str">
        <f>VLOOKUP(Tabela3[[#This Row],[COORDENAÇÃO]],[1]Mun!$D$1:$E$137,2,FALSE)</f>
        <v>GPR Agreste</v>
      </c>
      <c r="D85" s="5" t="s">
        <v>61</v>
      </c>
      <c r="E85" s="5" t="s">
        <v>62</v>
      </c>
      <c r="F85" s="6" t="s">
        <v>63</v>
      </c>
      <c r="G85" s="5" t="s">
        <v>64</v>
      </c>
      <c r="H85" s="5" t="s">
        <v>279</v>
      </c>
      <c r="I85" s="7"/>
      <c r="J85" s="7"/>
      <c r="K85" s="2">
        <v>1</v>
      </c>
      <c r="L85" s="8">
        <v>150</v>
      </c>
      <c r="M85" s="8"/>
      <c r="N85" s="11" t="s">
        <v>44</v>
      </c>
      <c r="O85" s="2"/>
      <c r="P85" s="2"/>
      <c r="Q85" s="2"/>
      <c r="R85" s="2"/>
      <c r="S85" s="2"/>
      <c r="U85" s="9">
        <v>391.5</v>
      </c>
      <c r="X85" s="5" t="s">
        <v>44</v>
      </c>
      <c r="Y85" s="10">
        <f>VLOOKUP(Tabela3[[#This Row],[SISTEMA]],'[1]Resultado Geral'!$D$2:$J$171,7,0)</f>
        <v>1.9807611413514784E-3</v>
      </c>
    </row>
    <row r="86" spans="1:25" ht="14.5" customHeight="1">
      <c r="A86" s="2">
        <v>114</v>
      </c>
      <c r="B86" s="2" t="str">
        <f>VLOOKUP(Tabela3[[#This Row],[COORDENAÇÃO]],[1]Mun!$D$1:$F$137,3,FALSE)</f>
        <v>Lote 2</v>
      </c>
      <c r="C86" s="5" t="str">
        <f>VLOOKUP(Tabela3[[#This Row],[COORDENAÇÃO]],[1]Mun!$D$1:$E$137,2,FALSE)</f>
        <v>GPR Agreste</v>
      </c>
      <c r="D86" s="5" t="s">
        <v>61</v>
      </c>
      <c r="E86" s="5" t="s">
        <v>62</v>
      </c>
      <c r="F86" s="6" t="s">
        <v>63</v>
      </c>
      <c r="G86" s="5" t="s">
        <v>64</v>
      </c>
      <c r="H86" s="5" t="s">
        <v>280</v>
      </c>
      <c r="I86" s="7"/>
      <c r="J86" s="7"/>
      <c r="K86" s="2">
        <v>1</v>
      </c>
      <c r="L86" s="8">
        <v>150</v>
      </c>
      <c r="M86" s="8"/>
      <c r="N86" s="11" t="s">
        <v>44</v>
      </c>
      <c r="O86" s="2"/>
      <c r="P86" s="2"/>
      <c r="Q86" s="2"/>
      <c r="R86" s="2"/>
      <c r="S86" s="2"/>
      <c r="U86" s="9">
        <v>391.5</v>
      </c>
      <c r="X86" s="5" t="s">
        <v>44</v>
      </c>
      <c r="Y86" s="10">
        <f>VLOOKUP(Tabela3[[#This Row],[SISTEMA]],'[1]Resultado Geral'!$D$2:$J$171,7,0)</f>
        <v>1.9807611413514784E-3</v>
      </c>
    </row>
    <row r="87" spans="1:25" ht="14.5" customHeight="1">
      <c r="A87" s="2">
        <v>178</v>
      </c>
      <c r="B87" s="2" t="str">
        <f>VLOOKUP(Tabela3[[#This Row],[COORDENAÇÃO]],[1]Mun!$D$1:$F$137,3,FALSE)</f>
        <v>Lote 2</v>
      </c>
      <c r="C87" s="5" t="str">
        <f>VLOOKUP(Tabela3[[#This Row],[COORDENAÇÃO]],[1]Mun!$D$1:$E$137,2,FALSE)</f>
        <v>GPR Agreste</v>
      </c>
      <c r="D87" s="5" t="s">
        <v>61</v>
      </c>
      <c r="E87" s="5" t="s">
        <v>281</v>
      </c>
      <c r="F87" s="6" t="s">
        <v>282</v>
      </c>
      <c r="G87" s="5"/>
      <c r="H87" s="5" t="s">
        <v>283</v>
      </c>
      <c r="I87" s="7"/>
      <c r="J87" s="7"/>
      <c r="K87" s="2">
        <v>1</v>
      </c>
      <c r="L87" s="8">
        <v>150</v>
      </c>
      <c r="M87" s="8"/>
      <c r="N87" s="14" t="s">
        <v>44</v>
      </c>
      <c r="O87" s="16"/>
      <c r="P87" s="16"/>
      <c r="Q87" s="16"/>
      <c r="R87" s="16"/>
      <c r="S87" s="16"/>
      <c r="U87" s="9">
        <v>326.89999999999998</v>
      </c>
      <c r="X87" s="5" t="s">
        <v>44</v>
      </c>
      <c r="Y87" s="10">
        <f>VLOOKUP(Tabela3[[#This Row],[SISTEMA]],'[1]Resultado Geral'!$D$2:$J$171,7,0)</f>
        <v>7.4810668328234217E-4</v>
      </c>
    </row>
    <row r="88" spans="1:25" ht="14.5" customHeight="1">
      <c r="A88" s="2">
        <v>244</v>
      </c>
      <c r="B88" s="2" t="str">
        <f>VLOOKUP(Tabela3[[#This Row],[COORDENAÇÃO]],[1]Mun!$D$1:$F$137,3,FALSE)</f>
        <v>Lote 2</v>
      </c>
      <c r="C88" s="5" t="str">
        <f>VLOOKUP(Tabela3[[#This Row],[COORDENAÇÃO]],[1]Mun!$D$1:$E$137,2,FALSE)</f>
        <v>GPR Agreste</v>
      </c>
      <c r="D88" s="5" t="s">
        <v>61</v>
      </c>
      <c r="E88" s="5" t="s">
        <v>284</v>
      </c>
      <c r="F88" s="6" t="s">
        <v>285</v>
      </c>
      <c r="G88" s="5"/>
      <c r="H88" s="5" t="s">
        <v>286</v>
      </c>
      <c r="I88" s="7"/>
      <c r="J88" s="7"/>
      <c r="K88" s="2">
        <v>1</v>
      </c>
      <c r="L88" s="8">
        <v>150</v>
      </c>
      <c r="M88" s="8"/>
      <c r="N88" s="14" t="s">
        <v>44</v>
      </c>
      <c r="O88" s="16"/>
      <c r="P88" s="16"/>
      <c r="Q88" s="16"/>
      <c r="R88" s="16"/>
      <c r="S88" s="16"/>
      <c r="U88" s="9">
        <v>353.2</v>
      </c>
      <c r="X88" s="5" t="s">
        <v>44</v>
      </c>
      <c r="Y88" s="10">
        <f>VLOOKUP(Tabela3[[#This Row],[SISTEMA]],'[1]Resultado Geral'!$D$2:$J$171,7,0)</f>
        <v>1.7403620622392021E-4</v>
      </c>
    </row>
    <row r="89" spans="1:25" ht="14.5" customHeight="1">
      <c r="A89" s="2">
        <v>224</v>
      </c>
      <c r="B89" s="2" t="str">
        <f>VLOOKUP(Tabela3[[#This Row],[COORDENAÇÃO]],[1]Mun!$D$1:$F$137,3,FALSE)</f>
        <v>Lote 2</v>
      </c>
      <c r="C89" s="5" t="str">
        <f>VLOOKUP(Tabela3[[#This Row],[COORDENAÇÃO]],[1]Mun!$D$1:$E$137,2,FALSE)</f>
        <v>GPR Agreste</v>
      </c>
      <c r="D89" s="5" t="s">
        <v>77</v>
      </c>
      <c r="E89" s="5" t="s">
        <v>287</v>
      </c>
      <c r="F89" s="6" t="s">
        <v>288</v>
      </c>
      <c r="G89" s="5"/>
      <c r="H89" s="5" t="s">
        <v>289</v>
      </c>
      <c r="I89" s="7">
        <v>-8.24831</v>
      </c>
      <c r="J89" s="7">
        <v>-36.37509</v>
      </c>
      <c r="K89" s="2" t="s">
        <v>39</v>
      </c>
      <c r="L89" s="8" t="s">
        <v>39</v>
      </c>
      <c r="M89" s="8"/>
      <c r="N89" s="16" t="s">
        <v>39</v>
      </c>
      <c r="O89" s="16"/>
      <c r="P89" s="16"/>
      <c r="Q89" s="16"/>
      <c r="R89" s="16"/>
      <c r="S89" s="16"/>
      <c r="U89" s="9">
        <v>61.3</v>
      </c>
      <c r="X89" s="5" t="s">
        <v>44</v>
      </c>
      <c r="Y89" s="10">
        <f>VLOOKUP(Tabela3[[#This Row],[SISTEMA]],'[1]Resultado Geral'!$D$2:$J$171,7,0)</f>
        <v>2.7268230205803104E-4</v>
      </c>
    </row>
    <row r="90" spans="1:25" ht="14.5" customHeight="1">
      <c r="A90" s="2">
        <v>138</v>
      </c>
      <c r="B90" s="2" t="str">
        <f>VLOOKUP(Tabela3[[#This Row],[COORDENAÇÃO]],[1]Mun!$D$1:$F$137,3,FALSE)</f>
        <v>Lote 2</v>
      </c>
      <c r="C90" s="5" t="str">
        <f>VLOOKUP(Tabela3[[#This Row],[COORDENAÇÃO]],[1]Mun!$D$1:$E$137,2,FALSE)</f>
        <v>GPR Agreste</v>
      </c>
      <c r="D90" s="5" t="s">
        <v>77</v>
      </c>
      <c r="E90" s="5" t="s">
        <v>244</v>
      </c>
      <c r="F90" s="6" t="s">
        <v>290</v>
      </c>
      <c r="G90" s="5"/>
      <c r="H90" s="5" t="s">
        <v>291</v>
      </c>
      <c r="I90" s="7">
        <v>-8.24831</v>
      </c>
      <c r="J90" s="7">
        <v>-36.37509</v>
      </c>
      <c r="K90" s="2" t="s">
        <v>39</v>
      </c>
      <c r="L90" s="27" t="s">
        <v>39</v>
      </c>
      <c r="M90" s="27"/>
      <c r="N90" s="2" t="s">
        <v>39</v>
      </c>
      <c r="O90" s="2"/>
      <c r="P90" s="2"/>
      <c r="Q90" s="2"/>
      <c r="R90" s="2"/>
      <c r="S90" s="2"/>
      <c r="U90" s="9">
        <v>67.400000000000006</v>
      </c>
      <c r="X90" s="5" t="s">
        <v>44</v>
      </c>
      <c r="Y90" s="10">
        <f>VLOOKUP(Tabela3[[#This Row],[SISTEMA]],'[1]Resultado Geral'!$D$2:$J$171,7,0)</f>
        <v>1.5782905515569967E-3</v>
      </c>
    </row>
    <row r="91" spans="1:25" ht="14.5" customHeight="1">
      <c r="A91" s="2">
        <v>195</v>
      </c>
      <c r="B91" s="2" t="str">
        <f>VLOOKUP(Tabela3[[#This Row],[COORDENAÇÃO]],[1]Mun!$D$1:$F$137,3,FALSE)</f>
        <v>Lote 2</v>
      </c>
      <c r="C91" s="5" t="str">
        <f>VLOOKUP(Tabela3[[#This Row],[COORDENAÇÃO]],[1]Mun!$D$1:$E$137,2,FALSE)</f>
        <v>GPR Agreste</v>
      </c>
      <c r="D91" s="5" t="s">
        <v>61</v>
      </c>
      <c r="E91" s="5" t="s">
        <v>292</v>
      </c>
      <c r="F91" s="6" t="s">
        <v>293</v>
      </c>
      <c r="G91" s="5"/>
      <c r="H91" s="5" t="s">
        <v>294</v>
      </c>
      <c r="I91" s="7"/>
      <c r="J91" s="7"/>
      <c r="K91" s="2">
        <v>1</v>
      </c>
      <c r="L91" s="8">
        <v>150</v>
      </c>
      <c r="M91" s="8"/>
      <c r="N91" s="14" t="s">
        <v>44</v>
      </c>
      <c r="O91" s="16"/>
      <c r="P91" s="16"/>
      <c r="Q91" s="16"/>
      <c r="R91" s="16"/>
      <c r="S91" s="16"/>
      <c r="U91" s="9">
        <v>381.8</v>
      </c>
      <c r="X91" s="5" t="s">
        <v>44</v>
      </c>
      <c r="Y91" s="10">
        <f>VLOOKUP(Tabela3[[#This Row],[SISTEMA]],'[1]Resultado Geral'!$D$2:$J$171,7,0)</f>
        <v>4.7550268420560508E-4</v>
      </c>
    </row>
    <row r="92" spans="1:25" ht="14.5" customHeight="1">
      <c r="A92" s="2">
        <v>206</v>
      </c>
      <c r="B92" s="2" t="str">
        <f>VLOOKUP(Tabela3[[#This Row],[COORDENAÇÃO]],[1]Mun!$D$1:$F$137,3,FALSE)</f>
        <v>Lote 2</v>
      </c>
      <c r="C92" s="5" t="str">
        <f>VLOOKUP(Tabela3[[#This Row],[COORDENAÇÃO]],[1]Mun!$D$1:$E$137,2,FALSE)</f>
        <v>GPR Agreste</v>
      </c>
      <c r="D92" s="5" t="s">
        <v>77</v>
      </c>
      <c r="E92" s="5" t="s">
        <v>295</v>
      </c>
      <c r="F92" s="6" t="s">
        <v>296</v>
      </c>
      <c r="G92" s="5" t="s">
        <v>80</v>
      </c>
      <c r="H92" s="5" t="s">
        <v>297</v>
      </c>
      <c r="I92" s="7"/>
      <c r="J92" s="7"/>
      <c r="K92" s="2">
        <v>1</v>
      </c>
      <c r="L92" s="8">
        <v>200</v>
      </c>
      <c r="M92" s="8"/>
      <c r="N92" s="14" t="s">
        <v>44</v>
      </c>
      <c r="O92" s="16"/>
      <c r="P92" s="16"/>
      <c r="Q92" s="16"/>
      <c r="R92" s="16"/>
      <c r="S92" s="16"/>
      <c r="T92" s="5" t="s">
        <v>298</v>
      </c>
      <c r="U92" s="9">
        <v>56.2</v>
      </c>
      <c r="X92" s="5" t="s">
        <v>44</v>
      </c>
      <c r="Y92" s="10" t="e">
        <f>VLOOKUP(Tabela3[[#This Row],[SISTEMA]],'[1]Resultado Geral'!$D$2:$J$171,7,0)</f>
        <v>#N/A</v>
      </c>
    </row>
    <row r="93" spans="1:25" ht="14.5" customHeight="1">
      <c r="A93" s="2">
        <v>256</v>
      </c>
      <c r="B93" s="2" t="str">
        <f>VLOOKUP(Tabela3[[#This Row],[COORDENAÇÃO]],[1]Mun!$D$1:$F$137,3,FALSE)</f>
        <v>Lote 2</v>
      </c>
      <c r="C93" s="5" t="str">
        <f>VLOOKUP(Tabela3[[#This Row],[COORDENAÇÃO]],[1]Mun!$D$1:$E$137,2,FALSE)</f>
        <v>GPR Agreste</v>
      </c>
      <c r="D93" s="5" t="s">
        <v>27</v>
      </c>
      <c r="E93" s="5" t="s">
        <v>28</v>
      </c>
      <c r="F93" s="17" t="s">
        <v>299</v>
      </c>
      <c r="G93" s="5"/>
      <c r="H93" s="5"/>
      <c r="I93" s="7"/>
      <c r="J93" s="7"/>
      <c r="K93" s="2"/>
      <c r="L93" s="13"/>
      <c r="M93" s="13"/>
      <c r="N93" s="14"/>
      <c r="O93" s="16"/>
      <c r="P93" s="16"/>
      <c r="Q93" s="16"/>
      <c r="R93" s="16"/>
      <c r="S93" s="16"/>
      <c r="U93" s="9">
        <v>55.7</v>
      </c>
      <c r="Y93" s="10" t="e">
        <f>VLOOKUP(Tabela3[[#This Row],[SISTEMA]],'[1]Resultado Geral'!$D$2:$J$171,7,0)</f>
        <v>#N/A</v>
      </c>
    </row>
    <row r="94" spans="1:25" ht="14.5" customHeight="1">
      <c r="A94" s="2">
        <v>253</v>
      </c>
      <c r="B94" s="2" t="str">
        <f>VLOOKUP(Tabela3[[#This Row],[COORDENAÇÃO]],[1]Mun!$D$1:$F$137,3,FALSE)</f>
        <v>Lote 2</v>
      </c>
      <c r="C94" s="5" t="str">
        <f>VLOOKUP(Tabela3[[#This Row],[COORDENAÇÃO]],[1]Mun!$D$1:$E$137,2,FALSE)</f>
        <v>GPR Agreste</v>
      </c>
      <c r="D94" s="5" t="s">
        <v>27</v>
      </c>
      <c r="E94" s="5" t="s">
        <v>300</v>
      </c>
      <c r="F94" s="17" t="s">
        <v>301</v>
      </c>
      <c r="G94" s="5"/>
      <c r="H94" s="5"/>
      <c r="I94" s="7"/>
      <c r="J94" s="7"/>
      <c r="K94" s="2"/>
      <c r="L94" s="13"/>
      <c r="M94" s="13"/>
      <c r="N94" s="14"/>
      <c r="O94" s="16"/>
      <c r="P94" s="16"/>
      <c r="Q94" s="16"/>
      <c r="R94" s="16"/>
      <c r="S94" s="16"/>
      <c r="U94" s="9">
        <v>111.8</v>
      </c>
      <c r="Y94" s="10" t="e">
        <f>VLOOKUP(Tabela3[[#This Row],[SISTEMA]],'[1]Resultado Geral'!$D$2:$J$171,7,0)</f>
        <v>#N/A</v>
      </c>
    </row>
    <row r="95" spans="1:25" ht="14.5" customHeight="1">
      <c r="A95" s="2">
        <v>223</v>
      </c>
      <c r="B95" s="2" t="str">
        <f>VLOOKUP(Tabela3[[#This Row],[COORDENAÇÃO]],[1]Mun!$D$1:$F$137,3,FALSE)</f>
        <v>Lote 3</v>
      </c>
      <c r="C95" s="5" t="str">
        <f>VLOOKUP(Tabela3[[#This Row],[COORDENAÇÃO]],[1]Mun!$D$1:$E$137,2,FALSE)</f>
        <v>GPR SERTAO</v>
      </c>
      <c r="D95" s="5" t="s">
        <v>34</v>
      </c>
      <c r="E95" s="5" t="s">
        <v>302</v>
      </c>
      <c r="F95" s="6" t="s">
        <v>303</v>
      </c>
      <c r="G95" s="5"/>
      <c r="H95" s="5" t="s">
        <v>38</v>
      </c>
      <c r="I95" s="7">
        <v>-8.0621170000000006</v>
      </c>
      <c r="J95" s="7">
        <v>-37.354404000000002</v>
      </c>
      <c r="K95" s="2" t="s">
        <v>39</v>
      </c>
      <c r="L95" s="8" t="s">
        <v>39</v>
      </c>
      <c r="M95" s="8"/>
      <c r="N95" s="16" t="s">
        <v>39</v>
      </c>
      <c r="O95" s="16"/>
      <c r="P95" s="16"/>
      <c r="Q95" s="16"/>
      <c r="R95" s="16"/>
      <c r="S95" s="16"/>
      <c r="U95" s="9">
        <v>248.8</v>
      </c>
      <c r="X95" s="5" t="s">
        <v>44</v>
      </c>
      <c r="Y95" s="10">
        <f>VLOOKUP(Tabela3[[#This Row],[SISTEMA]],'[1]Resultado Geral'!$D$2:$J$171,7,0)</f>
        <v>2.5457865278287115E-4</v>
      </c>
    </row>
    <row r="96" spans="1:25" ht="14.5" customHeight="1">
      <c r="A96" s="2">
        <v>183</v>
      </c>
      <c r="B96" s="2" t="str">
        <f>VLOOKUP(Tabela3[[#This Row],[COORDENAÇÃO]],[1]Mun!$D$1:$F$137,3,FALSE)</f>
        <v>Lote 1</v>
      </c>
      <c r="C96" s="5" t="str">
        <f>VLOOKUP(Tabela3[[#This Row],[COORDENAÇÃO]],[1]Mun!$D$1:$E$137,2,FALSE)</f>
        <v>GPM</v>
      </c>
      <c r="D96" s="5" t="s">
        <v>95</v>
      </c>
      <c r="E96" s="5" t="s">
        <v>304</v>
      </c>
      <c r="F96" s="6" t="s">
        <v>305</v>
      </c>
      <c r="G96" s="5"/>
      <c r="H96" s="5" t="s">
        <v>306</v>
      </c>
      <c r="I96" s="7"/>
      <c r="J96" s="7"/>
      <c r="K96" s="2">
        <v>1</v>
      </c>
      <c r="L96" s="8">
        <v>100</v>
      </c>
      <c r="M96" s="8"/>
      <c r="N96" s="11" t="s">
        <v>44</v>
      </c>
      <c r="O96" s="2"/>
      <c r="P96" s="2"/>
      <c r="Q96" s="2"/>
      <c r="R96" s="2"/>
      <c r="S96" s="2"/>
      <c r="U96" s="9">
        <v>143.1</v>
      </c>
      <c r="X96" s="5" t="s">
        <v>44</v>
      </c>
      <c r="Y96" s="10">
        <f>VLOOKUP(Tabela3[[#This Row],[SISTEMA]],'[1]Resultado Geral'!$D$2:$J$171,7,0)</f>
        <v>5.435636355463013E-4</v>
      </c>
    </row>
    <row r="97" spans="1:25" ht="14.5" customHeight="1">
      <c r="A97" s="2">
        <v>236</v>
      </c>
      <c r="B97" s="2" t="str">
        <f>VLOOKUP(Tabela3[[#This Row],[COORDENAÇÃO]],[1]Mun!$D$1:$F$137,3,FALSE)</f>
        <v>Lote 2</v>
      </c>
      <c r="C97" s="5" t="str">
        <f>VLOOKUP(Tabela3[[#This Row],[COORDENAÇÃO]],[1]Mun!$D$1:$E$137,2,FALSE)</f>
        <v>GPR Agreste</v>
      </c>
      <c r="D97" s="5" t="s">
        <v>77</v>
      </c>
      <c r="E97" s="5" t="s">
        <v>244</v>
      </c>
      <c r="F97" s="6" t="s">
        <v>307</v>
      </c>
      <c r="G97" s="5"/>
      <c r="H97" s="5" t="s">
        <v>252</v>
      </c>
      <c r="I97" s="7">
        <v>-8.3131830000000004</v>
      </c>
      <c r="J97" s="7">
        <v>-36.937334999999997</v>
      </c>
      <c r="K97" s="2" t="s">
        <v>39</v>
      </c>
      <c r="L97" s="8" t="s">
        <v>39</v>
      </c>
      <c r="M97" s="8"/>
      <c r="N97" s="16" t="s">
        <v>39</v>
      </c>
      <c r="O97" s="16"/>
      <c r="P97" s="16"/>
      <c r="Q97" s="16"/>
      <c r="R97" s="16"/>
      <c r="S97" s="16"/>
      <c r="U97" s="9">
        <v>67.400000000000006</v>
      </c>
      <c r="V97" s="5" t="s">
        <v>33</v>
      </c>
      <c r="X97" s="5" t="s">
        <v>44</v>
      </c>
      <c r="Y97" s="10">
        <f>VLOOKUP(Tabela3[[#This Row],[SISTEMA]],'[1]Resultado Geral'!$D$2:$J$171,7,0)</f>
        <v>1.8266519476251285E-4</v>
      </c>
    </row>
    <row r="98" spans="1:25" ht="14.5" customHeight="1">
      <c r="A98" s="2">
        <v>157</v>
      </c>
      <c r="B98" s="2" t="str">
        <f>VLOOKUP(Tabela3[[#This Row],[COORDENAÇÃO]],[1]Mun!$D$1:$F$137,3,FALSE)</f>
        <v>Lote 2</v>
      </c>
      <c r="C98" s="5" t="str">
        <f>VLOOKUP(Tabela3[[#This Row],[COORDENAÇÃO]],[1]Mun!$D$1:$E$137,2,FALSE)</f>
        <v>GPR Agreste</v>
      </c>
      <c r="D98" s="5" t="s">
        <v>77</v>
      </c>
      <c r="E98" s="5" t="s">
        <v>244</v>
      </c>
      <c r="F98" s="6" t="s">
        <v>308</v>
      </c>
      <c r="G98" s="5"/>
      <c r="H98" s="5" t="s">
        <v>252</v>
      </c>
      <c r="I98" s="7">
        <v>-8.3131830000000004</v>
      </c>
      <c r="J98" s="7">
        <v>-36.937334999999997</v>
      </c>
      <c r="K98" s="2" t="s">
        <v>39</v>
      </c>
      <c r="L98" s="8" t="s">
        <v>39</v>
      </c>
      <c r="M98" s="8"/>
      <c r="N98" s="2" t="s">
        <v>39</v>
      </c>
      <c r="O98" s="2"/>
      <c r="P98" s="2"/>
      <c r="Q98" s="2"/>
      <c r="R98" s="2"/>
      <c r="S98" s="2"/>
      <c r="U98" s="9">
        <v>67.400000000000006</v>
      </c>
      <c r="V98" s="5" t="s">
        <v>33</v>
      </c>
      <c r="X98" s="5" t="s">
        <v>44</v>
      </c>
      <c r="Y98" s="10">
        <f>VLOOKUP(Tabela3[[#This Row],[SISTEMA]],'[1]Resultado Geral'!$D$2:$J$171,7,0)</f>
        <v>3.8000436821951085E-4</v>
      </c>
    </row>
    <row r="99" spans="1:25" ht="14.5" customHeight="1">
      <c r="A99" s="2">
        <v>196</v>
      </c>
      <c r="B99" s="2" t="str">
        <f>VLOOKUP(Tabela3[[#This Row],[COORDENAÇÃO]],[1]Mun!$D$1:$F$137,3,FALSE)</f>
        <v>Lote 1</v>
      </c>
      <c r="C99" s="5" t="str">
        <f>VLOOKUP(Tabela3[[#This Row],[COORDENAÇÃO]],[1]Mun!$D$1:$E$137,2,FALSE)</f>
        <v>GPM</v>
      </c>
      <c r="D99" s="5" t="s">
        <v>95</v>
      </c>
      <c r="E99" s="5" t="s">
        <v>309</v>
      </c>
      <c r="F99" s="6" t="s">
        <v>310</v>
      </c>
      <c r="G99" s="5"/>
      <c r="H99" s="5" t="s">
        <v>311</v>
      </c>
      <c r="I99" s="7"/>
      <c r="J99" s="7"/>
      <c r="K99" s="2">
        <v>1</v>
      </c>
      <c r="L99" s="8">
        <v>150</v>
      </c>
      <c r="M99" s="8"/>
      <c r="N99" s="14" t="s">
        <v>44</v>
      </c>
      <c r="O99" s="16"/>
      <c r="P99" s="16"/>
      <c r="Q99" s="16"/>
      <c r="R99" s="16"/>
      <c r="S99" s="16"/>
      <c r="U99" s="9">
        <v>99.7</v>
      </c>
      <c r="X99" s="5" t="s">
        <v>44</v>
      </c>
      <c r="Y99" s="10">
        <f>VLOOKUP(Tabela3[[#This Row],[SISTEMA]],'[1]Resultado Geral'!$D$2:$J$171,7,0)</f>
        <v>5.2769945153614828E-4</v>
      </c>
    </row>
    <row r="100" spans="1:25" ht="14.5" customHeight="1">
      <c r="A100" s="2">
        <v>193</v>
      </c>
      <c r="B100" s="2" t="str">
        <f>VLOOKUP(Tabela3[[#This Row],[COORDENAÇÃO]],[1]Mun!$D$1:$F$137,3,FALSE)</f>
        <v>Lote 1</v>
      </c>
      <c r="C100" s="5" t="str">
        <f>VLOOKUP(Tabela3[[#This Row],[COORDENAÇÃO]],[1]Mun!$D$1:$E$137,2,FALSE)</f>
        <v>GPM</v>
      </c>
      <c r="D100" s="5" t="s">
        <v>95</v>
      </c>
      <c r="E100" s="5" t="s">
        <v>312</v>
      </c>
      <c r="F100" s="6" t="s">
        <v>313</v>
      </c>
      <c r="G100" s="5"/>
      <c r="H100" s="5" t="s">
        <v>314</v>
      </c>
      <c r="I100" s="7"/>
      <c r="J100" s="7"/>
      <c r="K100" s="2">
        <v>1</v>
      </c>
      <c r="L100" s="8">
        <v>150</v>
      </c>
      <c r="M100" s="8"/>
      <c r="N100" s="14" t="s">
        <v>44</v>
      </c>
      <c r="O100" s="16"/>
      <c r="P100" s="16"/>
      <c r="Q100" s="16"/>
      <c r="R100" s="16"/>
      <c r="S100" s="16"/>
      <c r="U100" s="9">
        <v>136</v>
      </c>
      <c r="X100" s="5" t="s">
        <v>44</v>
      </c>
      <c r="Y100" s="10">
        <f>VLOOKUP(Tabela3[[#This Row],[SISTEMA]],'[1]Resultado Geral'!$D$2:$J$171,7,0)</f>
        <v>5.15405883472999E-4</v>
      </c>
    </row>
    <row r="101" spans="1:25" ht="14.5" customHeight="1">
      <c r="A101" s="2">
        <v>207</v>
      </c>
      <c r="B101" s="2" t="str">
        <f>VLOOKUP(Tabela3[[#This Row],[COORDENAÇÃO]],[1]Mun!$D$1:$F$137,3,FALSE)</f>
        <v>Lote 1</v>
      </c>
      <c r="C101" s="5" t="str">
        <f>VLOOKUP(Tabela3[[#This Row],[COORDENAÇÃO]],[1]Mun!$D$1:$E$137,2,FALSE)</f>
        <v>GPM</v>
      </c>
      <c r="D101" s="5" t="s">
        <v>95</v>
      </c>
      <c r="E101" s="5" t="s">
        <v>315</v>
      </c>
      <c r="F101" s="6" t="s">
        <v>316</v>
      </c>
      <c r="G101" s="5"/>
      <c r="H101" s="5" t="s">
        <v>317</v>
      </c>
      <c r="I101" s="7"/>
      <c r="J101" s="7"/>
      <c r="K101" s="2">
        <v>1</v>
      </c>
      <c r="L101" s="8">
        <v>200</v>
      </c>
      <c r="M101" s="8"/>
      <c r="N101" s="14" t="s">
        <v>44</v>
      </c>
      <c r="O101" s="16"/>
      <c r="P101" s="16"/>
      <c r="Q101" s="16"/>
      <c r="R101" s="16"/>
      <c r="S101" s="16"/>
      <c r="U101" s="9">
        <v>132.6</v>
      </c>
      <c r="X101" s="5" t="s">
        <v>44</v>
      </c>
      <c r="Y101" s="10">
        <f>VLOOKUP(Tabela3[[#This Row],[SISTEMA]],'[1]Resultado Geral'!$D$2:$J$171,7,0)</f>
        <v>4.2329025627880319E-4</v>
      </c>
    </row>
    <row r="102" spans="1:25" ht="14.5" customHeight="1">
      <c r="A102" s="2">
        <v>76</v>
      </c>
      <c r="B102" s="2" t="str">
        <f>VLOOKUP(Tabela3[[#This Row],[COORDENAÇÃO]],[1]Mun!$D$1:$F$137,3,FALSE)</f>
        <v>Lote 1</v>
      </c>
      <c r="C102" s="5" t="str">
        <f>VLOOKUP(Tabela3[[#This Row],[COORDENAÇÃO]],[1]Mun!$D$1:$E$137,2,FALSE)</f>
        <v>GPM</v>
      </c>
      <c r="D102" s="5" t="s">
        <v>95</v>
      </c>
      <c r="E102" s="5" t="s">
        <v>318</v>
      </c>
      <c r="F102" s="6" t="s">
        <v>319</v>
      </c>
      <c r="G102" s="5" t="s">
        <v>102</v>
      </c>
      <c r="H102" s="5" t="s">
        <v>320</v>
      </c>
      <c r="I102" s="7">
        <v>-7.8838111111111102</v>
      </c>
      <c r="J102" s="7">
        <v>-35.350825</v>
      </c>
      <c r="K102" s="2">
        <v>1</v>
      </c>
      <c r="L102" s="8">
        <v>250</v>
      </c>
      <c r="M102" s="8"/>
      <c r="N102" s="11" t="s">
        <v>44</v>
      </c>
      <c r="O102" s="2"/>
      <c r="P102" s="2"/>
      <c r="Q102" s="2" t="s">
        <v>44</v>
      </c>
      <c r="R102" s="2"/>
      <c r="S102" s="2"/>
      <c r="U102" s="9">
        <v>81.8</v>
      </c>
      <c r="V102" s="5" t="s">
        <v>33</v>
      </c>
      <c r="X102" s="5" t="s">
        <v>32</v>
      </c>
      <c r="Y102" s="10">
        <f>VLOOKUP(Tabela3[[#This Row],[SISTEMA]],'[1]Resultado Geral'!$D$2:$J$171,7,0)</f>
        <v>3.3141580226699265E-3</v>
      </c>
    </row>
    <row r="103" spans="1:25" ht="14.5" customHeight="1">
      <c r="A103" s="2">
        <v>225</v>
      </c>
      <c r="B103" s="2" t="str">
        <f>VLOOKUP(Tabela3[[#This Row],[COORDENAÇÃO]],[1]Mun!$D$1:$F$137,3,FALSE)</f>
        <v>Lote 1</v>
      </c>
      <c r="C103" s="5" t="s">
        <v>39</v>
      </c>
      <c r="D103" s="5" t="s">
        <v>321</v>
      </c>
      <c r="E103" s="5" t="s">
        <v>322</v>
      </c>
      <c r="F103" s="6" t="s">
        <v>323</v>
      </c>
      <c r="G103" s="5"/>
      <c r="H103" s="5" t="s">
        <v>324</v>
      </c>
      <c r="I103" s="7">
        <v>-3.86497</v>
      </c>
      <c r="J103" s="7">
        <v>-32.427039999999998</v>
      </c>
      <c r="K103" s="2">
        <v>1</v>
      </c>
      <c r="L103" s="8">
        <v>150</v>
      </c>
      <c r="M103" s="8"/>
      <c r="N103" s="16" t="s">
        <v>32</v>
      </c>
      <c r="O103" s="2" t="s">
        <v>132</v>
      </c>
      <c r="P103" s="2"/>
      <c r="Q103" s="16"/>
      <c r="R103" s="16"/>
      <c r="S103" s="16"/>
      <c r="U103" s="9" t="s">
        <v>39</v>
      </c>
      <c r="X103" s="5" t="s">
        <v>44</v>
      </c>
      <c r="Y103" s="10">
        <f>VLOOKUP(Tabela3[[#This Row],[SISTEMA]],'[1]Resultado Geral'!$D$2:$J$171,7,0)</f>
        <v>3.2406471838311715E-4</v>
      </c>
    </row>
    <row r="104" spans="1:25" ht="14.5" customHeight="1">
      <c r="A104" s="2">
        <v>158</v>
      </c>
      <c r="B104" s="2" t="str">
        <f>VLOOKUP(Tabela3[[#This Row],[COORDENAÇÃO]],[1]Mun!$D$1:$F$137,3,FALSE)</f>
        <v>Lote 1</v>
      </c>
      <c r="C104" s="5" t="str">
        <f>VLOOKUP(Tabela3[[#This Row],[COORDENAÇÃO]],[1]Mun!$D$1:$E$137,2,FALSE)</f>
        <v>GPM</v>
      </c>
      <c r="D104" s="5" t="s">
        <v>325</v>
      </c>
      <c r="E104" s="5" t="s">
        <v>326</v>
      </c>
      <c r="F104" s="6" t="s">
        <v>327</v>
      </c>
      <c r="G104" s="5"/>
      <c r="H104" s="5" t="s">
        <v>328</v>
      </c>
      <c r="I104" s="7">
        <v>-8.1389999999999993</v>
      </c>
      <c r="J104" s="7">
        <v>-35.200620000000001</v>
      </c>
      <c r="K104" s="2">
        <v>1</v>
      </c>
      <c r="L104" s="8">
        <v>200</v>
      </c>
      <c r="M104" s="8"/>
      <c r="N104" s="11" t="s">
        <v>44</v>
      </c>
      <c r="O104" s="2"/>
      <c r="P104" s="2"/>
      <c r="Q104" s="2"/>
      <c r="R104" s="2"/>
      <c r="S104" s="2"/>
      <c r="U104" s="9">
        <v>25.8</v>
      </c>
      <c r="X104" s="5" t="s">
        <v>44</v>
      </c>
      <c r="Y104" s="10">
        <f>VLOOKUP(Tabela3[[#This Row],[SISTEMA]],'[1]Resultado Geral'!$D$2:$J$171,7,0)</f>
        <v>9.5796462417669075E-4</v>
      </c>
    </row>
    <row r="105" spans="1:25" ht="14.5" customHeight="1">
      <c r="A105" s="2">
        <v>7</v>
      </c>
      <c r="B105" s="2" t="str">
        <f>VLOOKUP(Tabela3[[#This Row],[COORDENAÇÃO]],[1]Mun!$D$1:$F$137,3,FALSE)</f>
        <v>Lote 1</v>
      </c>
      <c r="C105" s="5" t="str">
        <f>VLOOKUP(Tabela3[[#This Row],[COORDENAÇÃO]],[1]Mun!$D$1:$E$137,2,FALSE)</f>
        <v>GPM</v>
      </c>
      <c r="D105" s="5" t="s">
        <v>84</v>
      </c>
      <c r="E105" s="5" t="s">
        <v>329</v>
      </c>
      <c r="F105" s="6" t="s">
        <v>330</v>
      </c>
      <c r="G105" s="5"/>
      <c r="H105" s="5" t="s">
        <v>331</v>
      </c>
      <c r="I105" s="7">
        <v>-7.7047800000000004</v>
      </c>
      <c r="J105" s="7">
        <v>-34.937220000000003</v>
      </c>
      <c r="K105" s="2">
        <v>1</v>
      </c>
      <c r="L105" s="8">
        <v>600</v>
      </c>
      <c r="M105" s="8"/>
      <c r="N105" s="2" t="s">
        <v>32</v>
      </c>
      <c r="O105" s="2" t="s">
        <v>132</v>
      </c>
      <c r="P105" s="2"/>
      <c r="Q105" s="2" t="s">
        <v>44</v>
      </c>
      <c r="R105" s="2"/>
      <c r="S105" s="2"/>
      <c r="U105" s="9">
        <v>30.3</v>
      </c>
      <c r="V105" s="5" t="s">
        <v>33</v>
      </c>
      <c r="X105" s="5" t="s">
        <v>44</v>
      </c>
      <c r="Y105" s="10">
        <f>VLOOKUP(Tabela3[[#This Row],[SISTEMA]],'[1]Resultado Geral'!$D$2:$J$171,7,0)</f>
        <v>6.5830400556897831E-2</v>
      </c>
    </row>
    <row r="106" spans="1:25" ht="14.5" customHeight="1">
      <c r="A106" s="2">
        <v>61</v>
      </c>
      <c r="B106" s="2" t="str">
        <f>VLOOKUP(Tabela3[[#This Row],[COORDENAÇÃO]],[1]Mun!$D$1:$F$137,3,FALSE)</f>
        <v>Lote 1</v>
      </c>
      <c r="C106" s="5" t="str">
        <f>VLOOKUP(Tabela3[[#This Row],[COORDENAÇÃO]],[1]Mun!$D$1:$E$137,2,FALSE)</f>
        <v>GPM</v>
      </c>
      <c r="D106" s="5" t="s">
        <v>95</v>
      </c>
      <c r="E106" s="5" t="s">
        <v>168</v>
      </c>
      <c r="F106" s="6" t="s">
        <v>169</v>
      </c>
      <c r="G106" s="5"/>
      <c r="H106" s="5" t="s">
        <v>332</v>
      </c>
      <c r="I106" s="7"/>
      <c r="J106" s="7"/>
      <c r="K106" s="2">
        <v>1</v>
      </c>
      <c r="L106" s="8">
        <v>250</v>
      </c>
      <c r="M106" s="8"/>
      <c r="N106" s="11" t="s">
        <v>44</v>
      </c>
      <c r="O106" s="2"/>
      <c r="P106" s="2"/>
      <c r="Q106" s="2" t="s">
        <v>99</v>
      </c>
      <c r="R106" s="2"/>
      <c r="S106" s="2"/>
      <c r="U106" s="9">
        <v>169.9</v>
      </c>
      <c r="V106" s="5" t="s">
        <v>33</v>
      </c>
      <c r="X106" s="5" t="s">
        <v>44</v>
      </c>
      <c r="Y106" s="10">
        <f>VLOOKUP(Tabela3[[#This Row],[SISTEMA]],'[1]Resultado Geral'!$D$2:$J$171,7,0)</f>
        <v>5.4307659100265304E-3</v>
      </c>
    </row>
    <row r="107" spans="1:25" ht="14.5" customHeight="1">
      <c r="A107" s="2">
        <v>226</v>
      </c>
      <c r="B107" s="2" t="str">
        <f>VLOOKUP(Tabela3[[#This Row],[COORDENAÇÃO]],[1]Mun!$D$1:$F$137,3,FALSE)</f>
        <v>Lote 3</v>
      </c>
      <c r="C107" s="5" t="str">
        <f>VLOOKUP(Tabela3[[#This Row],[COORDENAÇÃO]],[1]Mun!$D$1:$E$137,2,FALSE)</f>
        <v>GPR SERTAO</v>
      </c>
      <c r="D107" s="5" t="s">
        <v>119</v>
      </c>
      <c r="E107" s="5" t="s">
        <v>333</v>
      </c>
      <c r="F107" s="6" t="s">
        <v>334</v>
      </c>
      <c r="G107" s="5" t="s">
        <v>37</v>
      </c>
      <c r="H107" s="5" t="s">
        <v>160</v>
      </c>
      <c r="I107" s="7">
        <v>-8.7751999999999999</v>
      </c>
      <c r="J107" s="7">
        <v>-38.54674</v>
      </c>
      <c r="K107" s="2" t="s">
        <v>39</v>
      </c>
      <c r="L107" s="8" t="s">
        <v>39</v>
      </c>
      <c r="M107" s="8"/>
      <c r="N107" s="16" t="s">
        <v>39</v>
      </c>
      <c r="O107" s="16"/>
      <c r="P107" s="16"/>
      <c r="Q107" s="16"/>
      <c r="R107" s="16"/>
      <c r="S107" s="16"/>
      <c r="U107" s="9">
        <v>116.5</v>
      </c>
      <c r="X107" s="5" t="s">
        <v>32</v>
      </c>
      <c r="Y107" s="10">
        <f>VLOOKUP(Tabela3[[#This Row],[SISTEMA]],'[1]Resultado Geral'!$D$2:$J$171,7,0)</f>
        <v>2.7380986498866383E-4</v>
      </c>
    </row>
    <row r="108" spans="1:25">
      <c r="A108" s="2">
        <v>8</v>
      </c>
      <c r="B108" s="2" t="str">
        <f>VLOOKUP(Tabela3[[#This Row],[COORDENAÇÃO]],[1]Mun!$D$1:$F$137,3,FALSE)</f>
        <v>Lote 1</v>
      </c>
      <c r="C108" s="5" t="str">
        <f>VLOOKUP(Tabela3[[#This Row],[COORDENAÇÃO]],[1]Mun!$D$1:$E$137,2,FALSE)</f>
        <v>GPM</v>
      </c>
      <c r="D108" s="5" t="s">
        <v>84</v>
      </c>
      <c r="E108" s="5" t="s">
        <v>329</v>
      </c>
      <c r="F108" s="6" t="s">
        <v>330</v>
      </c>
      <c r="G108" s="5"/>
      <c r="H108" s="5" t="s">
        <v>335</v>
      </c>
      <c r="I108" s="7">
        <v>-7.6883499999999998</v>
      </c>
      <c r="J108" s="7">
        <v>-34.919370000000001</v>
      </c>
      <c r="K108" s="2">
        <v>1</v>
      </c>
      <c r="L108" s="8">
        <v>600</v>
      </c>
      <c r="M108" s="8"/>
      <c r="N108" s="2" t="s">
        <v>32</v>
      </c>
      <c r="O108" s="2" t="s">
        <v>132</v>
      </c>
      <c r="P108" s="2"/>
      <c r="Q108" s="2" t="s">
        <v>44</v>
      </c>
      <c r="R108" s="2"/>
      <c r="S108" s="2"/>
      <c r="U108" s="9">
        <v>30.3</v>
      </c>
      <c r="V108" s="5" t="s">
        <v>33</v>
      </c>
      <c r="X108" s="5" t="s">
        <v>44</v>
      </c>
      <c r="Y108" s="10">
        <f>VLOOKUP(Tabela3[[#This Row],[SISTEMA]],'[1]Resultado Geral'!$D$2:$J$171,7,0)</f>
        <v>6.5830400556897831E-2</v>
      </c>
    </row>
    <row r="109" spans="1:25">
      <c r="A109" s="2">
        <v>128</v>
      </c>
      <c r="B109" s="2" t="str">
        <f>VLOOKUP(Tabela3[[#This Row],[COORDENAÇÃO]],[1]Mun!$D$1:$F$137,3,FALSE)</f>
        <v>Lote 1</v>
      </c>
      <c r="C109" s="5" t="str">
        <f>VLOOKUP(Tabela3[[#This Row],[COORDENAÇÃO]],[1]Mun!$D$1:$E$137,2,FALSE)</f>
        <v>GPM</v>
      </c>
      <c r="D109" s="5" t="s">
        <v>95</v>
      </c>
      <c r="E109" s="5" t="s">
        <v>336</v>
      </c>
      <c r="F109" s="6" t="s">
        <v>337</v>
      </c>
      <c r="G109" s="5"/>
      <c r="H109" s="5" t="s">
        <v>338</v>
      </c>
      <c r="I109" s="7"/>
      <c r="J109" s="7"/>
      <c r="K109" s="2">
        <v>1</v>
      </c>
      <c r="L109" s="8">
        <v>200</v>
      </c>
      <c r="M109" s="8"/>
      <c r="N109" s="11" t="s">
        <v>44</v>
      </c>
      <c r="O109" s="2"/>
      <c r="P109" s="2"/>
      <c r="Q109" s="2"/>
      <c r="R109" s="2"/>
      <c r="S109" s="2"/>
      <c r="U109" s="9">
        <v>195.9</v>
      </c>
      <c r="X109" s="5" t="s">
        <v>44</v>
      </c>
      <c r="Y109" s="10">
        <f>VLOOKUP(Tabela3[[#This Row],[SISTEMA]],'[1]Resultado Geral'!$D$2:$J$171,7,0)</f>
        <v>1.2477580069189997E-3</v>
      </c>
    </row>
    <row r="110" spans="1:25" ht="14.5" customHeight="1">
      <c r="A110" s="2">
        <v>47</v>
      </c>
      <c r="B110" s="2" t="str">
        <f>VLOOKUP(Tabela3[[#This Row],[COORDENAÇÃO]],[1]Mun!$D$1:$F$137,3,FALSE)</f>
        <v>Lote 1</v>
      </c>
      <c r="C110" s="5" t="str">
        <f>VLOOKUP(Tabela3[[#This Row],[COORDENAÇÃO]],[1]Mun!$D$1:$E$137,2,FALSE)</f>
        <v>GPM</v>
      </c>
      <c r="D110" s="5" t="s">
        <v>95</v>
      </c>
      <c r="E110" s="5" t="s">
        <v>312</v>
      </c>
      <c r="F110" s="6" t="s">
        <v>339</v>
      </c>
      <c r="G110" s="5" t="s">
        <v>340</v>
      </c>
      <c r="H110" s="5" t="s">
        <v>341</v>
      </c>
      <c r="I110" s="7">
        <v>-7.6718200000000003</v>
      </c>
      <c r="J110" s="7">
        <v>-35.411999999999999</v>
      </c>
      <c r="K110" s="2">
        <v>1</v>
      </c>
      <c r="L110" s="8">
        <v>250</v>
      </c>
      <c r="M110" s="8"/>
      <c r="N110" s="11" t="s">
        <v>44</v>
      </c>
      <c r="O110" s="2"/>
      <c r="P110" s="2"/>
      <c r="Q110" s="2" t="s">
        <v>99</v>
      </c>
      <c r="R110" s="2"/>
      <c r="S110" s="2"/>
      <c r="U110" s="9">
        <v>136</v>
      </c>
      <c r="V110" s="5" t="s">
        <v>33</v>
      </c>
      <c r="X110" s="5" t="s">
        <v>44</v>
      </c>
      <c r="Y110" s="10">
        <f>VLOOKUP(Tabela3[[#This Row],[SISTEMA]],'[1]Resultado Geral'!$D$2:$J$171,7,0)</f>
        <v>8.0041307478669679E-3</v>
      </c>
    </row>
    <row r="111" spans="1:25" ht="14.5" customHeight="1">
      <c r="A111" s="2">
        <v>79</v>
      </c>
      <c r="B111" s="2" t="str">
        <f>VLOOKUP(Tabela3[[#This Row],[COORDENAÇÃO]],[1]Mun!$D$1:$F$137,3,FALSE)</f>
        <v>Lote 1</v>
      </c>
      <c r="C111" s="5" t="str">
        <f>VLOOKUP(Tabela3[[#This Row],[COORDENAÇÃO]],[1]Mun!$D$1:$E$137,2,FALSE)</f>
        <v>GPM</v>
      </c>
      <c r="D111" s="5" t="s">
        <v>40</v>
      </c>
      <c r="E111" s="5" t="s">
        <v>41</v>
      </c>
      <c r="F111" s="6" t="s">
        <v>42</v>
      </c>
      <c r="G111" s="5"/>
      <c r="H111" s="5" t="s">
        <v>342</v>
      </c>
      <c r="I111" s="7"/>
      <c r="J111" s="7"/>
      <c r="K111" s="2">
        <v>1</v>
      </c>
      <c r="L111" s="8">
        <v>250</v>
      </c>
      <c r="M111" s="8"/>
      <c r="N111" s="11" t="s">
        <v>44</v>
      </c>
      <c r="O111" s="2"/>
      <c r="P111" s="2"/>
      <c r="Q111" s="2" t="s">
        <v>44</v>
      </c>
      <c r="R111" s="2"/>
      <c r="S111" s="2"/>
      <c r="U111" s="9">
        <v>150.4</v>
      </c>
      <c r="V111" s="5" t="s">
        <v>33</v>
      </c>
      <c r="X111" s="5" t="s">
        <v>44</v>
      </c>
      <c r="Y111" s="10">
        <f>VLOOKUP(Tabela3[[#This Row],[SISTEMA]],'[1]Resultado Geral'!$D$2:$J$171,7,0)</f>
        <v>2.1510925203184566E-3</v>
      </c>
    </row>
    <row r="112" spans="1:25" ht="14.5" customHeight="1">
      <c r="A112" s="2">
        <v>69</v>
      </c>
      <c r="B112" s="2" t="str">
        <f>VLOOKUP(Tabela3[[#This Row],[COORDENAÇÃO]],[1]Mun!$D$1:$F$137,3,FALSE)</f>
        <v>Lote 1</v>
      </c>
      <c r="C112" s="5" t="str">
        <f>VLOOKUP(Tabela3[[#This Row],[COORDENAÇÃO]],[1]Mun!$D$1:$E$137,2,FALSE)</f>
        <v>GPM</v>
      </c>
      <c r="D112" s="5" t="s">
        <v>40</v>
      </c>
      <c r="E112" s="5" t="s">
        <v>343</v>
      </c>
      <c r="F112" s="6" t="s">
        <v>344</v>
      </c>
      <c r="G112" s="5" t="s">
        <v>345</v>
      </c>
      <c r="H112" s="5" t="s">
        <v>346</v>
      </c>
      <c r="I112" s="7">
        <v>-8.814552777777779</v>
      </c>
      <c r="J112" s="7">
        <v>-35.213186111111114</v>
      </c>
      <c r="K112" s="2">
        <v>1</v>
      </c>
      <c r="L112" s="8">
        <v>300</v>
      </c>
      <c r="M112" s="8"/>
      <c r="N112" s="11" t="s">
        <v>44</v>
      </c>
      <c r="O112" s="2"/>
      <c r="P112" s="2"/>
      <c r="Q112" s="2" t="s">
        <v>44</v>
      </c>
      <c r="R112" s="2"/>
      <c r="S112" s="2"/>
      <c r="U112" s="9">
        <v>137</v>
      </c>
      <c r="V112" s="5" t="s">
        <v>33</v>
      </c>
      <c r="X112" s="5" t="s">
        <v>32</v>
      </c>
      <c r="Y112" s="10">
        <f>VLOOKUP(Tabela3[[#This Row],[SISTEMA]],'[1]Resultado Geral'!$D$2:$J$171,7,0)</f>
        <v>3.8223352881217938E-3</v>
      </c>
    </row>
    <row r="113" spans="1:25" ht="14.5" customHeight="1">
      <c r="A113" s="2">
        <v>201</v>
      </c>
      <c r="B113" s="2" t="str">
        <f>VLOOKUP(Tabela3[[#This Row],[COORDENAÇÃO]],[1]Mun!$D$1:$F$137,3,FALSE)</f>
        <v>Lote 1</v>
      </c>
      <c r="C113" s="5" t="str">
        <f>VLOOKUP(Tabela3[[#This Row],[COORDENAÇÃO]],[1]Mun!$D$1:$E$137,2,FALSE)</f>
        <v>GPM</v>
      </c>
      <c r="D113" s="5" t="s">
        <v>95</v>
      </c>
      <c r="E113" s="5" t="s">
        <v>347</v>
      </c>
      <c r="F113" s="6" t="s">
        <v>348</v>
      </c>
      <c r="G113" s="5"/>
      <c r="H113" s="5" t="s">
        <v>349</v>
      </c>
      <c r="I113" s="7"/>
      <c r="J113" s="7"/>
      <c r="K113" s="2">
        <v>1</v>
      </c>
      <c r="L113" s="8">
        <v>200</v>
      </c>
      <c r="M113" s="8"/>
      <c r="N113" s="14" t="s">
        <v>44</v>
      </c>
      <c r="O113" s="16"/>
      <c r="P113" s="16"/>
      <c r="Q113" s="16"/>
      <c r="R113" s="16"/>
      <c r="S113" s="16"/>
      <c r="U113" s="9">
        <v>116.8</v>
      </c>
      <c r="X113" s="5" t="s">
        <v>44</v>
      </c>
      <c r="Y113" s="10">
        <f>VLOOKUP(Tabela3[[#This Row],[SISTEMA]],'[1]Resultado Geral'!$D$2:$J$171,7,0)</f>
        <v>4.8186088628667336E-4</v>
      </c>
    </row>
    <row r="114" spans="1:25" ht="14.5" customHeight="1">
      <c r="A114" s="2">
        <v>167</v>
      </c>
      <c r="B114" s="2" t="str">
        <f>VLOOKUP(Tabela3[[#This Row],[COORDENAÇÃO]],[1]Mun!$D$1:$F$137,3,FALSE)</f>
        <v>Lote 3</v>
      </c>
      <c r="C114" s="5" t="str">
        <f>VLOOKUP(Tabela3[[#This Row],[COORDENAÇÃO]],[1]Mun!$D$1:$E$137,2,FALSE)</f>
        <v>GPR SERTAO</v>
      </c>
      <c r="D114" s="5" t="s">
        <v>34</v>
      </c>
      <c r="E114" s="5" t="s">
        <v>350</v>
      </c>
      <c r="F114" s="6" t="s">
        <v>351</v>
      </c>
      <c r="G114" s="5"/>
      <c r="H114" s="5" t="s">
        <v>38</v>
      </c>
      <c r="I114" s="7">
        <v>-8.0621170000000006</v>
      </c>
      <c r="J114" s="7">
        <v>-37.354404000000002</v>
      </c>
      <c r="K114" s="2" t="s">
        <v>39</v>
      </c>
      <c r="L114" s="28" t="s">
        <v>39</v>
      </c>
      <c r="M114" s="28"/>
      <c r="N114" s="16" t="s">
        <v>39</v>
      </c>
      <c r="O114" s="16"/>
      <c r="P114" s="16"/>
      <c r="Q114" s="16"/>
      <c r="R114" s="16"/>
      <c r="S114" s="16"/>
      <c r="U114" s="9">
        <v>266.89999999999998</v>
      </c>
      <c r="X114" s="5" t="s">
        <v>44</v>
      </c>
      <c r="Y114" s="10">
        <f>VLOOKUP(Tabela3[[#This Row],[SISTEMA]],'[1]Resultado Geral'!$D$2:$J$171,7,0)</f>
        <v>8.5214002422947632E-4</v>
      </c>
    </row>
    <row r="115" spans="1:25" ht="14.5" customHeight="1">
      <c r="A115" s="2">
        <v>194</v>
      </c>
      <c r="B115" s="2" t="str">
        <f>VLOOKUP(Tabela3[[#This Row],[COORDENAÇÃO]],[1]Mun!$D$1:$F$137,3,FALSE)</f>
        <v>Lote 1</v>
      </c>
      <c r="C115" s="5" t="str">
        <f>VLOOKUP(Tabela3[[#This Row],[COORDENAÇÃO]],[1]Mun!$D$1:$E$137,2,FALSE)</f>
        <v>GPM</v>
      </c>
      <c r="D115" s="5" t="s">
        <v>95</v>
      </c>
      <c r="E115" s="5" t="s">
        <v>312</v>
      </c>
      <c r="F115" s="6" t="s">
        <v>313</v>
      </c>
      <c r="G115" s="5"/>
      <c r="H115" s="5" t="s">
        <v>352</v>
      </c>
      <c r="I115" s="7"/>
      <c r="J115" s="7"/>
      <c r="K115" s="2">
        <v>1</v>
      </c>
      <c r="L115" s="8">
        <v>200</v>
      </c>
      <c r="M115" s="8"/>
      <c r="N115" s="14" t="s">
        <v>44</v>
      </c>
      <c r="O115" s="16"/>
      <c r="P115" s="16"/>
      <c r="Q115" s="16"/>
      <c r="R115" s="16"/>
      <c r="S115" s="16"/>
      <c r="U115" s="9">
        <v>136</v>
      </c>
      <c r="X115" s="5" t="s">
        <v>44</v>
      </c>
      <c r="Y115" s="10">
        <f>VLOOKUP(Tabela3[[#This Row],[SISTEMA]],'[1]Resultado Geral'!$D$2:$J$171,7,0)</f>
        <v>5.15405883472999E-4</v>
      </c>
    </row>
    <row r="116" spans="1:25" ht="14.5" customHeight="1">
      <c r="A116" s="2">
        <v>63</v>
      </c>
      <c r="B116" s="2" t="str">
        <f>VLOOKUP(Tabela3[[#This Row],[COORDENAÇÃO]],[1]Mun!$D$1:$F$137,3,FALSE)</f>
        <v>Lote 2</v>
      </c>
      <c r="C116" s="5" t="str">
        <f>VLOOKUP(Tabela3[[#This Row],[COORDENAÇÃO]],[1]Mun!$D$1:$E$137,2,FALSE)</f>
        <v>GPR Agreste</v>
      </c>
      <c r="D116" s="5" t="s">
        <v>206</v>
      </c>
      <c r="E116" s="5" t="s">
        <v>226</v>
      </c>
      <c r="F116" s="6" t="s">
        <v>353</v>
      </c>
      <c r="G116" s="5"/>
      <c r="H116" s="5" t="s">
        <v>252</v>
      </c>
      <c r="I116" s="7">
        <v>-8.3131830000000004</v>
      </c>
      <c r="J116" s="7">
        <v>-36.937334999999997</v>
      </c>
      <c r="K116" s="2">
        <v>1</v>
      </c>
      <c r="L116" s="8">
        <v>1200</v>
      </c>
      <c r="M116" s="8"/>
      <c r="N116" s="2" t="s">
        <v>32</v>
      </c>
      <c r="O116" s="2"/>
      <c r="P116" s="2"/>
      <c r="Q116" s="2"/>
      <c r="R116" s="2"/>
      <c r="S116" s="2"/>
      <c r="U116" s="9">
        <v>0</v>
      </c>
      <c r="V116" s="5" t="s">
        <v>33</v>
      </c>
      <c r="W116" s="5" t="s">
        <v>32</v>
      </c>
      <c r="X116" s="5" t="s">
        <v>44</v>
      </c>
      <c r="Y116" s="10">
        <f>VLOOKUP(Tabela3[[#This Row],[SISTEMA]],'[1]Resultado Geral'!$D$2:$J$171,7,0)</f>
        <v>2.5848702237544791E-2</v>
      </c>
    </row>
    <row r="117" spans="1:25" ht="14.5" customHeight="1">
      <c r="A117" s="2">
        <v>96</v>
      </c>
      <c r="B117" s="2" t="str">
        <f>VLOOKUP(Tabela3[[#This Row],[COORDENAÇÃO]],[1]Mun!$D$1:$F$137,3,FALSE)</f>
        <v>Lote 2</v>
      </c>
      <c r="C117" s="5" t="str">
        <f>VLOOKUP(Tabela3[[#This Row],[COORDENAÇÃO]],[1]Mun!$D$1:$E$137,2,FALSE)</f>
        <v>GPR Agreste</v>
      </c>
      <c r="D117" s="5" t="s">
        <v>206</v>
      </c>
      <c r="E117" s="5" t="s">
        <v>226</v>
      </c>
      <c r="F117" s="6" t="s">
        <v>354</v>
      </c>
      <c r="G117" s="5"/>
      <c r="H117" s="5" t="s">
        <v>272</v>
      </c>
      <c r="I117" s="7">
        <v>-7.9648500000000002</v>
      </c>
      <c r="J117" s="7">
        <v>-35.738700000000001</v>
      </c>
      <c r="K117" s="2">
        <v>1</v>
      </c>
      <c r="L117" s="8">
        <v>900</v>
      </c>
      <c r="M117" s="8"/>
      <c r="N117" s="2" t="s">
        <v>32</v>
      </c>
      <c r="O117" s="2"/>
      <c r="P117" s="2"/>
      <c r="Q117" s="2"/>
      <c r="R117" s="2"/>
      <c r="S117" s="2"/>
      <c r="U117" s="9">
        <v>0</v>
      </c>
      <c r="V117" s="5" t="s">
        <v>33</v>
      </c>
      <c r="W117" s="5" t="s">
        <v>32</v>
      </c>
      <c r="X117" s="5" t="s">
        <v>32</v>
      </c>
      <c r="Y117" s="10">
        <f>VLOOKUP(Tabela3[[#This Row],[SISTEMA]],'[1]Resultado Geral'!$D$2:$J$171,7,0)</f>
        <v>9.9778983367471603E-3</v>
      </c>
    </row>
    <row r="118" spans="1:25" ht="14.5" customHeight="1">
      <c r="A118" s="2">
        <v>98</v>
      </c>
      <c r="B118" s="2" t="str">
        <f>VLOOKUP(Tabela3[[#This Row],[COORDENAÇÃO]],[1]Mun!$D$1:$F$137,3,FALSE)</f>
        <v>Lote 2</v>
      </c>
      <c r="C118" s="5" t="str">
        <f>VLOOKUP(Tabela3[[#This Row],[COORDENAÇÃO]],[1]Mun!$D$1:$E$137,2,FALSE)</f>
        <v>GPR Agreste</v>
      </c>
      <c r="D118" s="5" t="s">
        <v>206</v>
      </c>
      <c r="E118" s="5" t="s">
        <v>226</v>
      </c>
      <c r="F118" s="6" t="s">
        <v>353</v>
      </c>
      <c r="G118" s="5"/>
      <c r="H118" s="5" t="s">
        <v>209</v>
      </c>
      <c r="I118" s="7">
        <v>-8.5239999999999991</v>
      </c>
      <c r="J118" s="7">
        <v>-35.838000000000001</v>
      </c>
      <c r="K118" s="2">
        <v>1</v>
      </c>
      <c r="L118" s="8">
        <v>800</v>
      </c>
      <c r="M118" s="8"/>
      <c r="N118" s="2" t="s">
        <v>32</v>
      </c>
      <c r="O118" s="2"/>
      <c r="P118" s="2"/>
      <c r="Q118" s="2"/>
      <c r="R118" s="2"/>
      <c r="S118" s="2"/>
      <c r="U118" s="9">
        <v>0</v>
      </c>
      <c r="V118" s="5" t="s">
        <v>33</v>
      </c>
      <c r="W118" s="5" t="s">
        <v>32</v>
      </c>
      <c r="X118" s="5" t="s">
        <v>44</v>
      </c>
      <c r="Y118" s="10">
        <f>VLOOKUP(Tabela3[[#This Row],[SISTEMA]],'[1]Resultado Geral'!$D$2:$J$171,7,0)</f>
        <v>2.5848702237544791E-2</v>
      </c>
    </row>
    <row r="119" spans="1:25" ht="14.5" customHeight="1">
      <c r="A119" s="2">
        <v>129</v>
      </c>
      <c r="B119" s="2" t="str">
        <f>VLOOKUP(Tabela3[[#This Row],[COORDENAÇÃO]],[1]Mun!$D$1:$F$137,3,FALSE)</f>
        <v>Lote 1</v>
      </c>
      <c r="C119" s="5" t="str">
        <f>VLOOKUP(Tabela3[[#This Row],[COORDENAÇÃO]],[1]Mun!$D$1:$E$137,2,FALSE)</f>
        <v>GPM</v>
      </c>
      <c r="D119" s="5" t="s">
        <v>95</v>
      </c>
      <c r="E119" s="5" t="s">
        <v>336</v>
      </c>
      <c r="F119" s="6" t="s">
        <v>337</v>
      </c>
      <c r="G119" s="5"/>
      <c r="H119" s="5" t="s">
        <v>355</v>
      </c>
      <c r="I119" s="7"/>
      <c r="J119" s="7"/>
      <c r="K119" s="2">
        <v>1</v>
      </c>
      <c r="L119" s="8">
        <v>150</v>
      </c>
      <c r="M119" s="8"/>
      <c r="N119" s="11" t="s">
        <v>44</v>
      </c>
      <c r="O119" s="2"/>
      <c r="P119" s="2"/>
      <c r="Q119" s="2"/>
      <c r="R119" s="2"/>
      <c r="S119" s="2"/>
      <c r="U119" s="9">
        <v>195.9</v>
      </c>
      <c r="X119" s="5" t="s">
        <v>44</v>
      </c>
      <c r="Y119" s="10">
        <f>VLOOKUP(Tabela3[[#This Row],[SISTEMA]],'[1]Resultado Geral'!$D$2:$J$171,7,0)</f>
        <v>1.2477580069189997E-3</v>
      </c>
    </row>
    <row r="120" spans="1:25" ht="14.5" customHeight="1">
      <c r="A120" s="2">
        <v>153</v>
      </c>
      <c r="B120" s="2" t="str">
        <f>VLOOKUP(Tabela3[[#This Row],[COORDENAÇÃO]],[1]Mun!$D$1:$F$137,3,FALSE)</f>
        <v>Lote 2</v>
      </c>
      <c r="C120" s="5" t="str">
        <f>VLOOKUP(Tabela3[[#This Row],[COORDENAÇÃO]],[1]Mun!$D$1:$E$137,2,FALSE)</f>
        <v>GPR Agreste</v>
      </c>
      <c r="D120" s="5" t="s">
        <v>77</v>
      </c>
      <c r="E120" s="5" t="s">
        <v>244</v>
      </c>
      <c r="F120" s="6" t="s">
        <v>245</v>
      </c>
      <c r="G120" s="5"/>
      <c r="H120" s="5" t="s">
        <v>356</v>
      </c>
      <c r="I120" s="7"/>
      <c r="J120" s="7"/>
      <c r="K120" s="2">
        <v>1</v>
      </c>
      <c r="L120" s="8">
        <v>200</v>
      </c>
      <c r="M120" s="8"/>
      <c r="N120" s="11" t="s">
        <v>44</v>
      </c>
      <c r="O120" s="2"/>
      <c r="P120" s="2"/>
      <c r="Q120" s="2"/>
      <c r="R120" s="2"/>
      <c r="S120" s="2"/>
      <c r="U120" s="9">
        <v>67.400000000000006</v>
      </c>
      <c r="X120" s="5" t="s">
        <v>44</v>
      </c>
      <c r="Y120" s="10">
        <f>VLOOKUP(Tabela3[[#This Row],[SISTEMA]],'[1]Resultado Geral'!$D$2:$J$171,7,0)</f>
        <v>8.3117048583895815E-4</v>
      </c>
    </row>
    <row r="121" spans="1:25" ht="14.5" customHeight="1">
      <c r="A121" s="2">
        <v>56</v>
      </c>
      <c r="B121" s="2" t="str">
        <f>VLOOKUP(Tabela3[[#This Row],[COORDENAÇÃO]],[1]Mun!$D$1:$F$137,3,FALSE)</f>
        <v>Lote 2</v>
      </c>
      <c r="C121" s="5" t="str">
        <f>VLOOKUP(Tabela3[[#This Row],[COORDENAÇÃO]],[1]Mun!$D$1:$E$137,2,FALSE)</f>
        <v>GPR Agreste</v>
      </c>
      <c r="D121" s="5" t="s">
        <v>27</v>
      </c>
      <c r="E121" s="5" t="s">
        <v>181</v>
      </c>
      <c r="F121" s="6" t="s">
        <v>182</v>
      </c>
      <c r="G121" s="29"/>
      <c r="H121" s="5" t="s">
        <v>357</v>
      </c>
      <c r="I121" s="7"/>
      <c r="J121" s="7"/>
      <c r="K121" s="2">
        <v>1</v>
      </c>
      <c r="L121" s="8">
        <v>200</v>
      </c>
      <c r="M121" s="8"/>
      <c r="N121" s="11" t="s">
        <v>44</v>
      </c>
      <c r="O121" s="2"/>
      <c r="P121" s="2"/>
      <c r="Q121" s="2" t="s">
        <v>99</v>
      </c>
      <c r="R121" s="2"/>
      <c r="S121" s="2"/>
      <c r="U121" s="9">
        <v>85.4</v>
      </c>
      <c r="V121" s="5" t="s">
        <v>33</v>
      </c>
      <c r="X121" s="5" t="s">
        <v>44</v>
      </c>
      <c r="Y121" s="10">
        <f>VLOOKUP(Tabela3[[#This Row],[SISTEMA]],'[1]Resultado Geral'!$D$2:$J$171,7,0)</f>
        <v>3.5122332441510874E-3</v>
      </c>
    </row>
    <row r="122" spans="1:25" ht="14.5" customHeight="1">
      <c r="A122" s="2">
        <v>33</v>
      </c>
      <c r="B122" s="2" t="str">
        <f>VLOOKUP(Tabela3[[#This Row],[COORDENAÇÃO]],[1]Mun!$D$1:$F$137,3,FALSE)</f>
        <v>Lote 2</v>
      </c>
      <c r="C122" s="5" t="str">
        <f>VLOOKUP(Tabela3[[#This Row],[COORDENAÇÃO]],[1]Mun!$D$1:$E$137,2,FALSE)</f>
        <v>GPR Agreste</v>
      </c>
      <c r="D122" s="5" t="s">
        <v>27</v>
      </c>
      <c r="E122" s="5" t="s">
        <v>28</v>
      </c>
      <c r="F122" s="6" t="s">
        <v>130</v>
      </c>
      <c r="G122" s="5" t="s">
        <v>30</v>
      </c>
      <c r="H122" s="5" t="s">
        <v>358</v>
      </c>
      <c r="I122" s="7">
        <v>-8.24831</v>
      </c>
      <c r="J122" s="7">
        <v>-36.37509</v>
      </c>
      <c r="K122" s="2">
        <v>1</v>
      </c>
      <c r="L122" s="8">
        <v>200</v>
      </c>
      <c r="M122" s="8"/>
      <c r="N122" s="2" t="s">
        <v>44</v>
      </c>
      <c r="O122" s="2"/>
      <c r="P122" s="2"/>
      <c r="Q122" s="2" t="s">
        <v>44</v>
      </c>
      <c r="R122" s="2"/>
      <c r="S122" s="2"/>
      <c r="U122" s="9">
        <v>55.7</v>
      </c>
      <c r="V122" s="5" t="s">
        <v>33</v>
      </c>
      <c r="W122" s="5" t="s">
        <v>32</v>
      </c>
      <c r="X122" s="5" t="s">
        <v>44</v>
      </c>
      <c r="Y122" s="10">
        <f>VLOOKUP(Tabela3[[#This Row],[SISTEMA]],'[1]Resultado Geral'!$D$2:$J$171,7,0)</f>
        <v>1.2784762664806139E-2</v>
      </c>
    </row>
    <row r="123" spans="1:25" ht="17.649999999999999" customHeight="1">
      <c r="A123" s="2">
        <v>176</v>
      </c>
      <c r="B123" s="2" t="str">
        <f>VLOOKUP(Tabela3[[#This Row],[COORDENAÇÃO]],[1]Mun!$D$1:$F$137,3,FALSE)</f>
        <v>Lote 2</v>
      </c>
      <c r="C123" s="5" t="str">
        <f>VLOOKUP(Tabela3[[#This Row],[COORDENAÇÃO]],[1]Mun!$D$1:$E$137,2,FALSE)</f>
        <v>GPR Agreste</v>
      </c>
      <c r="D123" s="5" t="s">
        <v>210</v>
      </c>
      <c r="E123" s="5" t="s">
        <v>359</v>
      </c>
      <c r="F123" s="6" t="s">
        <v>360</v>
      </c>
      <c r="G123" s="5"/>
      <c r="H123" s="30" t="s">
        <v>361</v>
      </c>
      <c r="I123" s="26"/>
      <c r="J123" s="26"/>
      <c r="K123" s="2">
        <v>1</v>
      </c>
      <c r="L123" s="8">
        <v>200</v>
      </c>
      <c r="M123" s="8"/>
      <c r="N123" s="14" t="s">
        <v>44</v>
      </c>
      <c r="O123" s="16"/>
      <c r="P123" s="16"/>
      <c r="Q123" s="16"/>
      <c r="R123" s="16"/>
      <c r="S123" s="16"/>
      <c r="U123" s="9">
        <v>66.5</v>
      </c>
      <c r="X123" s="5" t="s">
        <v>44</v>
      </c>
      <c r="Y123" s="10">
        <f>VLOOKUP(Tabela3[[#This Row],[SISTEMA]],'[1]Resultado Geral'!$D$2:$J$171,7,0)</f>
        <v>8.2114707780948286E-4</v>
      </c>
    </row>
    <row r="124" spans="1:25" ht="14.5" customHeight="1">
      <c r="A124" s="2">
        <v>198</v>
      </c>
      <c r="B124" s="2" t="str">
        <f>VLOOKUP(Tabela3[[#This Row],[COORDENAÇÃO]],[1]Mun!$D$1:$F$137,3,FALSE)</f>
        <v>Lote 2</v>
      </c>
      <c r="C124" s="5" t="str">
        <f>VLOOKUP(Tabela3[[#This Row],[COORDENAÇÃO]],[1]Mun!$D$1:$E$137,2,FALSE)</f>
        <v>GPR Agreste</v>
      </c>
      <c r="D124" s="5" t="s">
        <v>27</v>
      </c>
      <c r="E124" s="5" t="s">
        <v>28</v>
      </c>
      <c r="F124" s="6" t="s">
        <v>258</v>
      </c>
      <c r="G124" s="5"/>
      <c r="H124" s="5" t="s">
        <v>259</v>
      </c>
      <c r="I124" s="7">
        <v>-8.24831</v>
      </c>
      <c r="J124" s="7">
        <v>-36.37509</v>
      </c>
      <c r="K124" s="2" t="s">
        <v>39</v>
      </c>
      <c r="L124" s="8" t="s">
        <v>39</v>
      </c>
      <c r="M124" s="8"/>
      <c r="N124" s="16" t="s">
        <v>39</v>
      </c>
      <c r="O124" s="16"/>
      <c r="P124" s="16"/>
      <c r="Q124" s="16"/>
      <c r="R124" s="16"/>
      <c r="S124" s="16"/>
      <c r="U124" s="9">
        <v>55.7</v>
      </c>
      <c r="W124" s="5" t="s">
        <v>32</v>
      </c>
      <c r="X124" s="5" t="s">
        <v>44</v>
      </c>
      <c r="Y124" s="10">
        <f>VLOOKUP(Tabela3[[#This Row],[SISTEMA]],'[1]Resultado Geral'!$D$2:$J$171,7,0)</f>
        <v>3.8562652227641604E-4</v>
      </c>
    </row>
    <row r="125" spans="1:25" ht="14.5" customHeight="1">
      <c r="A125" s="2">
        <v>78</v>
      </c>
      <c r="B125" s="2" t="str">
        <f>VLOOKUP(Tabela3[[#This Row],[COORDENAÇÃO]],[1]Mun!$D$1:$F$137,3,FALSE)</f>
        <v>Lote 1</v>
      </c>
      <c r="C125" s="5" t="str">
        <f>VLOOKUP(Tabela3[[#This Row],[COORDENAÇÃO]],[1]Mun!$D$1:$E$137,2,FALSE)</f>
        <v>GPM</v>
      </c>
      <c r="D125" s="5" t="s">
        <v>95</v>
      </c>
      <c r="E125" s="5" t="s">
        <v>318</v>
      </c>
      <c r="F125" s="6" t="s">
        <v>319</v>
      </c>
      <c r="G125" s="5"/>
      <c r="H125" s="30" t="s">
        <v>362</v>
      </c>
      <c r="I125" s="26"/>
      <c r="J125" s="26"/>
      <c r="K125" s="2">
        <v>1</v>
      </c>
      <c r="L125" s="31">
        <v>400</v>
      </c>
      <c r="M125" s="31"/>
      <c r="N125" s="11" t="s">
        <v>44</v>
      </c>
      <c r="O125" s="2"/>
      <c r="P125" s="2"/>
      <c r="Q125" s="2" t="s">
        <v>44</v>
      </c>
      <c r="R125" s="2"/>
      <c r="S125" s="2"/>
      <c r="T125" s="5" t="s">
        <v>363</v>
      </c>
      <c r="U125" s="9">
        <v>81.8</v>
      </c>
      <c r="X125" s="5" t="s">
        <v>44</v>
      </c>
      <c r="Y125" s="10">
        <f>VLOOKUP(Tabela3[[#This Row],[SISTEMA]],'[1]Resultado Geral'!$D$2:$J$171,7,0)</f>
        <v>3.3141580226699265E-3</v>
      </c>
    </row>
    <row r="126" spans="1:25" ht="17.649999999999999" customHeight="1">
      <c r="A126" s="2">
        <v>239</v>
      </c>
      <c r="B126" s="2" t="str">
        <f>VLOOKUP(Tabela3[[#This Row],[COORDENAÇÃO]],[1]Mun!$D$1:$F$137,3,FALSE)</f>
        <v>Lote 1</v>
      </c>
      <c r="C126" s="5" t="str">
        <f>VLOOKUP(Tabela3[[#This Row],[COORDENAÇÃO]],[1]Mun!$D$1:$E$137,2,FALSE)</f>
        <v>GPM</v>
      </c>
      <c r="D126" s="5" t="s">
        <v>95</v>
      </c>
      <c r="E126" s="5" t="s">
        <v>364</v>
      </c>
      <c r="F126" s="6" t="s">
        <v>365</v>
      </c>
      <c r="G126" s="5"/>
      <c r="H126" s="5" t="s">
        <v>366</v>
      </c>
      <c r="I126" s="7"/>
      <c r="J126" s="7"/>
      <c r="K126" s="2">
        <v>1</v>
      </c>
      <c r="L126" s="8">
        <v>100</v>
      </c>
      <c r="M126" s="8"/>
      <c r="N126" s="14" t="s">
        <v>44</v>
      </c>
      <c r="O126" s="16"/>
      <c r="P126" s="16"/>
      <c r="Q126" s="16"/>
      <c r="R126" s="16"/>
      <c r="S126" s="16"/>
      <c r="T126" s="5" t="s">
        <v>367</v>
      </c>
      <c r="U126" s="9">
        <v>100.3</v>
      </c>
      <c r="X126" s="5" t="s">
        <v>44</v>
      </c>
      <c r="Y126" s="10">
        <f>VLOOKUP(Tabela3[[#This Row],[SISTEMA]],'[1]Resultado Geral'!$D$2:$J$171,7,0)</f>
        <v>1.196782766096642E-4</v>
      </c>
    </row>
    <row r="127" spans="1:25" ht="14.5" customHeight="1">
      <c r="A127" s="2">
        <v>120</v>
      </c>
      <c r="B127" s="2" t="str">
        <f>VLOOKUP(Tabela3[[#This Row],[COORDENAÇÃO]],[1]Mun!$D$1:$F$137,3,FALSE)</f>
        <v>Lote 2</v>
      </c>
      <c r="C127" s="5" t="str">
        <f>VLOOKUP(Tabela3[[#This Row],[COORDENAÇÃO]],[1]Mun!$D$1:$E$137,2,FALSE)</f>
        <v>GPR Agreste</v>
      </c>
      <c r="D127" s="5" t="s">
        <v>77</v>
      </c>
      <c r="E127" s="5" t="s">
        <v>78</v>
      </c>
      <c r="F127" s="6" t="s">
        <v>368</v>
      </c>
      <c r="G127" s="5"/>
      <c r="H127" s="5" t="s">
        <v>272</v>
      </c>
      <c r="I127" s="7">
        <v>-7.9648500000000002</v>
      </c>
      <c r="J127" s="7">
        <v>-35.738700000000001</v>
      </c>
      <c r="K127" s="2" t="s">
        <v>39</v>
      </c>
      <c r="L127" s="8" t="s">
        <v>39</v>
      </c>
      <c r="M127" s="8"/>
      <c r="N127" s="2" t="s">
        <v>39</v>
      </c>
      <c r="O127" s="2"/>
      <c r="P127" s="2"/>
      <c r="Q127" s="2"/>
      <c r="R127" s="2"/>
      <c r="S127" s="2"/>
      <c r="U127" s="9">
        <v>51.1</v>
      </c>
      <c r="V127" s="5" t="s">
        <v>33</v>
      </c>
      <c r="X127" s="5" t="s">
        <v>32</v>
      </c>
      <c r="Y127" s="10">
        <f>VLOOKUP(Tabela3[[#This Row],[SISTEMA]],'[1]Resultado Geral'!$D$2:$J$171,7,0)</f>
        <v>1.9425090387476484E-3</v>
      </c>
    </row>
    <row r="128" spans="1:25" ht="14.5" customHeight="1">
      <c r="A128" s="2">
        <v>189</v>
      </c>
      <c r="B128" s="2" t="str">
        <f>VLOOKUP(Tabela3[[#This Row],[COORDENAÇÃO]],[1]Mun!$D$1:$F$137,3,FALSE)</f>
        <v>Lote 2</v>
      </c>
      <c r="C128" s="5" t="str">
        <f>VLOOKUP(Tabela3[[#This Row],[COORDENAÇÃO]],[1]Mun!$D$1:$E$137,2,FALSE)</f>
        <v>GPR Agreste</v>
      </c>
      <c r="D128" s="5" t="s">
        <v>210</v>
      </c>
      <c r="E128" s="5" t="s">
        <v>267</v>
      </c>
      <c r="F128" s="6" t="s">
        <v>369</v>
      </c>
      <c r="G128" s="5"/>
      <c r="H128" s="5" t="s">
        <v>370</v>
      </c>
      <c r="I128" s="7"/>
      <c r="J128" s="7"/>
      <c r="K128" s="2">
        <v>1</v>
      </c>
      <c r="L128" s="8">
        <v>200</v>
      </c>
      <c r="M128" s="8"/>
      <c r="N128" s="14" t="s">
        <v>44</v>
      </c>
      <c r="O128" s="16"/>
      <c r="P128" s="16"/>
      <c r="Q128" s="16"/>
      <c r="R128" s="16"/>
      <c r="S128" s="16"/>
      <c r="U128" s="9">
        <v>63.8</v>
      </c>
      <c r="X128" s="5" t="s">
        <v>44</v>
      </c>
      <c r="Y128" s="10">
        <f>VLOOKUP(Tabela3[[#This Row],[SISTEMA]],'[1]Resultado Geral'!$D$2:$J$171,7,0)</f>
        <v>6.573574431117256E-4</v>
      </c>
    </row>
    <row r="129" spans="1:25" ht="14.5" customHeight="1">
      <c r="A129" s="2">
        <v>84</v>
      </c>
      <c r="B129" s="2" t="str">
        <f>VLOOKUP(Tabela3[[#This Row],[COORDENAÇÃO]],[1]Mun!$D$1:$F$137,3,FALSE)</f>
        <v>Lote 3</v>
      </c>
      <c r="C129" s="5" t="str">
        <f>VLOOKUP(Tabela3[[#This Row],[COORDENAÇÃO]],[1]Mun!$D$1:$E$137,2,FALSE)</f>
        <v>GPR SERTAO</v>
      </c>
      <c r="D129" s="5" t="s">
        <v>53</v>
      </c>
      <c r="E129" s="5" t="s">
        <v>371</v>
      </c>
      <c r="F129" s="6" t="s">
        <v>372</v>
      </c>
      <c r="G129" s="5"/>
      <c r="H129" s="5" t="s">
        <v>373</v>
      </c>
      <c r="I129" s="7">
        <v>-8.1249400000000005</v>
      </c>
      <c r="J129" s="7">
        <v>-37.441830000000003</v>
      </c>
      <c r="K129" s="2">
        <v>1</v>
      </c>
      <c r="L129" s="8">
        <v>250</v>
      </c>
      <c r="M129" s="8"/>
      <c r="N129" s="2" t="s">
        <v>32</v>
      </c>
      <c r="O129" s="2"/>
      <c r="P129" s="2"/>
      <c r="Q129" s="2"/>
      <c r="R129" s="2"/>
      <c r="S129" s="2"/>
      <c r="U129" s="9">
        <v>176.6</v>
      </c>
      <c r="V129" s="5" t="s">
        <v>33</v>
      </c>
      <c r="X129" s="5" t="s">
        <v>44</v>
      </c>
      <c r="Y129" s="10">
        <f>VLOOKUP(Tabela3[[#This Row],[SISTEMA]],'[1]Resultado Geral'!$D$2:$J$171,7,0)</f>
        <v>2.9610742194192737E-3</v>
      </c>
    </row>
    <row r="130" spans="1:25" ht="14.5" customHeight="1">
      <c r="A130" s="2">
        <v>222</v>
      </c>
      <c r="B130" s="2" t="str">
        <f>VLOOKUP(Tabela3[[#This Row],[COORDENAÇÃO]],[1]Mun!$D$1:$F$137,3,FALSE)</f>
        <v>Lote 1</v>
      </c>
      <c r="C130" s="5" t="str">
        <f>VLOOKUP(Tabela3[[#This Row],[COORDENAÇÃO]],[1]Mun!$D$1:$E$137,2,FALSE)</f>
        <v>GPM</v>
      </c>
      <c r="D130" s="5" t="s">
        <v>95</v>
      </c>
      <c r="E130" s="5" t="s">
        <v>374</v>
      </c>
      <c r="F130" s="6" t="s">
        <v>375</v>
      </c>
      <c r="G130" s="5"/>
      <c r="H130" s="5" t="s">
        <v>376</v>
      </c>
      <c r="I130" s="7"/>
      <c r="J130" s="7"/>
      <c r="K130" s="2">
        <v>1</v>
      </c>
      <c r="L130" s="8">
        <v>200</v>
      </c>
      <c r="M130" s="8"/>
      <c r="N130" s="14" t="s">
        <v>44</v>
      </c>
      <c r="O130" s="16"/>
      <c r="P130" s="16"/>
      <c r="Q130" s="16"/>
      <c r="R130" s="16"/>
      <c r="S130" s="16"/>
      <c r="U130" s="9">
        <v>170.8</v>
      </c>
      <c r="X130" s="5" t="s">
        <v>44</v>
      </c>
      <c r="Y130" s="10">
        <f>VLOOKUP(Tabela3[[#This Row],[SISTEMA]],'[1]Resultado Geral'!$D$2:$J$171,7,0)</f>
        <v>2.2148781288805036E-4</v>
      </c>
    </row>
    <row r="131" spans="1:25" ht="14.5" customHeight="1">
      <c r="A131" s="2">
        <v>190</v>
      </c>
      <c r="B131" s="2" t="str">
        <f>VLOOKUP(Tabela3[[#This Row],[COORDENAÇÃO]],[1]Mun!$D$1:$F$137,3,FALSE)</f>
        <v>Lote 2</v>
      </c>
      <c r="C131" s="5" t="str">
        <f>VLOOKUP(Tabela3[[#This Row],[COORDENAÇÃO]],[1]Mun!$D$1:$E$137,2,FALSE)</f>
        <v>GPR Agreste</v>
      </c>
      <c r="D131" s="5" t="s">
        <v>210</v>
      </c>
      <c r="E131" s="5" t="s">
        <v>211</v>
      </c>
      <c r="F131" s="6" t="s">
        <v>377</v>
      </c>
      <c r="G131" s="5"/>
      <c r="H131" s="5" t="s">
        <v>378</v>
      </c>
      <c r="I131" s="7"/>
      <c r="J131" s="7"/>
      <c r="K131" s="2">
        <v>1</v>
      </c>
      <c r="L131" s="8">
        <v>200</v>
      </c>
      <c r="M131" s="8"/>
      <c r="N131" s="14" t="s">
        <v>44</v>
      </c>
      <c r="O131" s="16"/>
      <c r="P131" s="16"/>
      <c r="Q131" s="16"/>
      <c r="R131" s="16"/>
      <c r="S131" s="16"/>
      <c r="U131" s="9">
        <v>53.5</v>
      </c>
      <c r="X131" s="5" t="s">
        <v>44</v>
      </c>
      <c r="Y131" s="10">
        <f>VLOOKUP(Tabela3[[#This Row],[SISTEMA]],'[1]Resultado Geral'!$D$2:$J$171,7,0)</f>
        <v>6.1662564169627911E-4</v>
      </c>
    </row>
    <row r="132" spans="1:25" ht="14.5" customHeight="1">
      <c r="A132" s="2">
        <v>151</v>
      </c>
      <c r="B132" s="2" t="str">
        <f>VLOOKUP(Tabela3[[#This Row],[COORDENAÇÃO]],[1]Mun!$D$1:$F$137,3,FALSE)</f>
        <v>Lote 1</v>
      </c>
      <c r="C132" s="5" t="str">
        <f>VLOOKUP(Tabela3[[#This Row],[COORDENAÇÃO]],[1]Mun!$D$1:$E$137,2,FALSE)</f>
        <v>GPM</v>
      </c>
      <c r="D132" s="5" t="s">
        <v>95</v>
      </c>
      <c r="E132" s="5" t="s">
        <v>379</v>
      </c>
      <c r="F132" s="6" t="s">
        <v>380</v>
      </c>
      <c r="G132" s="5"/>
      <c r="H132" s="5" t="s">
        <v>381</v>
      </c>
      <c r="I132" s="7"/>
      <c r="J132" s="7"/>
      <c r="K132" s="2">
        <v>1</v>
      </c>
      <c r="L132" s="8">
        <v>200</v>
      </c>
      <c r="M132" s="8"/>
      <c r="N132" s="11" t="s">
        <v>44</v>
      </c>
      <c r="O132" s="2"/>
      <c r="P132" s="2"/>
      <c r="Q132" s="2"/>
      <c r="R132" s="2"/>
      <c r="S132" s="2"/>
      <c r="U132" s="9">
        <v>150.1</v>
      </c>
      <c r="X132" s="5" t="s">
        <v>44</v>
      </c>
      <c r="Y132" s="10">
        <f>VLOOKUP(Tabela3[[#This Row],[SISTEMA]],'[1]Resultado Geral'!$D$2:$J$171,7,0)</f>
        <v>1.0939709516576935E-3</v>
      </c>
    </row>
    <row r="133" spans="1:25" ht="14.5" customHeight="1">
      <c r="A133" s="2">
        <v>136</v>
      </c>
      <c r="B133" s="2" t="str">
        <f>VLOOKUP(Tabela3[[#This Row],[COORDENAÇÃO]],[1]Mun!$D$1:$F$137,3,FALSE)</f>
        <v>Lote 1</v>
      </c>
      <c r="C133" s="5" t="str">
        <f>VLOOKUP(Tabela3[[#This Row],[COORDENAÇÃO]],[1]Mun!$D$1:$E$137,2,FALSE)</f>
        <v>GPM</v>
      </c>
      <c r="D133" s="5" t="s">
        <v>95</v>
      </c>
      <c r="E133" s="5" t="s">
        <v>382</v>
      </c>
      <c r="F133" s="6" t="s">
        <v>383</v>
      </c>
      <c r="G133" s="5" t="s">
        <v>340</v>
      </c>
      <c r="H133" s="29" t="s">
        <v>384</v>
      </c>
      <c r="I133" s="7"/>
      <c r="J133" s="7"/>
      <c r="K133" s="2">
        <v>1</v>
      </c>
      <c r="L133" s="8">
        <v>150</v>
      </c>
      <c r="M133" s="8"/>
      <c r="N133" s="11" t="s">
        <v>44</v>
      </c>
      <c r="O133" s="2"/>
      <c r="P133" s="2"/>
      <c r="Q133" s="2"/>
      <c r="R133" s="2"/>
      <c r="S133" s="2"/>
      <c r="U133" s="9">
        <v>171.7</v>
      </c>
      <c r="X133" s="5" t="s">
        <v>44</v>
      </c>
      <c r="Y133" s="10">
        <f>VLOOKUP(Tabela3[[#This Row],[SISTEMA]],'[1]Resultado Geral'!$D$2:$J$171,7,0)</f>
        <v>7.0550986145843659E-4</v>
      </c>
    </row>
    <row r="134" spans="1:25" ht="14.5" customHeight="1">
      <c r="A134" s="2">
        <v>5</v>
      </c>
      <c r="B134" s="2" t="str">
        <f>VLOOKUP(Tabela3[[#This Row],[COORDENAÇÃO]],[1]Mun!$D$1:$F$137,3,FALSE)</f>
        <v>Lote 1</v>
      </c>
      <c r="C134" s="5" t="str">
        <f>VLOOKUP(Tabela3[[#This Row],[COORDENAÇÃO]],[1]Mun!$D$1:$E$137,2,FALSE)</f>
        <v>GPM</v>
      </c>
      <c r="D134" s="5" t="s">
        <v>84</v>
      </c>
      <c r="E134" s="5" t="s">
        <v>329</v>
      </c>
      <c r="F134" s="6" t="s">
        <v>330</v>
      </c>
      <c r="G134" s="5"/>
      <c r="H134" s="5" t="s">
        <v>385</v>
      </c>
      <c r="I134" s="7">
        <v>-7.8367199999999997</v>
      </c>
      <c r="J134" s="7">
        <v>-34.946980000000003</v>
      </c>
      <c r="K134" s="2">
        <v>1</v>
      </c>
      <c r="L134" s="8">
        <v>400</v>
      </c>
      <c r="M134" s="8"/>
      <c r="N134" s="2" t="s">
        <v>32</v>
      </c>
      <c r="O134" s="2" t="s">
        <v>132</v>
      </c>
      <c r="P134" s="2"/>
      <c r="Q134" s="2" t="s">
        <v>44</v>
      </c>
      <c r="R134" s="2"/>
      <c r="S134" s="2"/>
      <c r="U134" s="9">
        <v>30.3</v>
      </c>
      <c r="V134" s="5" t="s">
        <v>33</v>
      </c>
      <c r="X134" s="5" t="s">
        <v>44</v>
      </c>
      <c r="Y134" s="10">
        <f>VLOOKUP(Tabela3[[#This Row],[SISTEMA]],'[1]Resultado Geral'!$D$2:$J$171,7,0)</f>
        <v>6.5830400556897831E-2</v>
      </c>
    </row>
    <row r="135" spans="1:25" ht="14.5" customHeight="1">
      <c r="A135" s="2">
        <v>9</v>
      </c>
      <c r="B135" s="2" t="str">
        <f>VLOOKUP(Tabela3[[#This Row],[COORDENAÇÃO]],[1]Mun!$D$1:$F$137,3,FALSE)</f>
        <v>Lote 1</v>
      </c>
      <c r="C135" s="5" t="str">
        <f>VLOOKUP(Tabela3[[#This Row],[COORDENAÇÃO]],[1]Mun!$D$1:$E$137,2,FALSE)</f>
        <v>GPM</v>
      </c>
      <c r="D135" s="5" t="s">
        <v>84</v>
      </c>
      <c r="E135" s="5" t="s">
        <v>329</v>
      </c>
      <c r="F135" s="6" t="s">
        <v>330</v>
      </c>
      <c r="G135" s="5"/>
      <c r="H135" s="5" t="s">
        <v>386</v>
      </c>
      <c r="I135" s="7">
        <v>-7.81698</v>
      </c>
      <c r="J135" s="7">
        <v>-35.017589999999998</v>
      </c>
      <c r="K135" s="2">
        <v>1</v>
      </c>
      <c r="L135" s="8">
        <v>600</v>
      </c>
      <c r="M135" s="8"/>
      <c r="N135" s="2" t="s">
        <v>32</v>
      </c>
      <c r="O135" s="2" t="s">
        <v>88</v>
      </c>
      <c r="P135" s="2"/>
      <c r="Q135" s="2" t="s">
        <v>44</v>
      </c>
      <c r="R135" s="2"/>
      <c r="S135" s="2"/>
      <c r="U135" s="9">
        <v>30.3</v>
      </c>
      <c r="V135" s="5" t="s">
        <v>33</v>
      </c>
      <c r="X135" s="5" t="s">
        <v>44</v>
      </c>
      <c r="Y135" s="10">
        <f>VLOOKUP(Tabela3[[#This Row],[SISTEMA]],'[1]Resultado Geral'!$D$2:$J$171,7,0)</f>
        <v>6.5830400556897831E-2</v>
      </c>
    </row>
    <row r="136" spans="1:25" ht="14.5" customHeight="1">
      <c r="A136" s="2">
        <v>6</v>
      </c>
      <c r="B136" s="2" t="str">
        <f>VLOOKUP(Tabela3[[#This Row],[COORDENAÇÃO]],[1]Mun!$D$1:$F$137,3,FALSE)</f>
        <v>Lote 1</v>
      </c>
      <c r="C136" s="5" t="str">
        <f>VLOOKUP(Tabela3[[#This Row],[COORDENAÇÃO]],[1]Mun!$D$1:$E$137,2,FALSE)</f>
        <v>GPM</v>
      </c>
      <c r="D136" s="5" t="s">
        <v>84</v>
      </c>
      <c r="E136" s="5" t="s">
        <v>329</v>
      </c>
      <c r="F136" s="6" t="s">
        <v>330</v>
      </c>
      <c r="G136" s="5"/>
      <c r="H136" s="5" t="s">
        <v>387</v>
      </c>
      <c r="I136" s="7">
        <v>-7.8099400000000001</v>
      </c>
      <c r="J136" s="7">
        <v>-34.948430000000002</v>
      </c>
      <c r="K136" s="2">
        <v>1</v>
      </c>
      <c r="L136" s="8">
        <v>600</v>
      </c>
      <c r="M136" s="8"/>
      <c r="N136" s="2" t="s">
        <v>32</v>
      </c>
      <c r="O136" s="2" t="s">
        <v>388</v>
      </c>
      <c r="P136" s="2"/>
      <c r="Q136" s="2" t="s">
        <v>44</v>
      </c>
      <c r="R136" s="2"/>
      <c r="S136" s="2"/>
      <c r="U136" s="9">
        <v>30.3</v>
      </c>
      <c r="V136" s="5" t="s">
        <v>33</v>
      </c>
      <c r="X136" s="5" t="s">
        <v>44</v>
      </c>
      <c r="Y136" s="10">
        <f>VLOOKUP(Tabela3[[#This Row],[SISTEMA]],'[1]Resultado Geral'!$D$2:$J$171,7,0)</f>
        <v>6.5830400556897831E-2</v>
      </c>
    </row>
    <row r="137" spans="1:25" ht="14.5" customHeight="1">
      <c r="A137" s="2">
        <v>70</v>
      </c>
      <c r="B137" s="2" t="str">
        <f>VLOOKUP(Tabela3[[#This Row],[COORDENAÇÃO]],[1]Mun!$D$1:$F$137,3,FALSE)</f>
        <v>Lote 1</v>
      </c>
      <c r="C137" s="5" t="str">
        <f>VLOOKUP(Tabela3[[#This Row],[COORDENAÇÃO]],[1]Mun!$D$1:$E$137,2,FALSE)</f>
        <v>GPM</v>
      </c>
      <c r="D137" s="5" t="s">
        <v>40</v>
      </c>
      <c r="E137" s="5" t="s">
        <v>389</v>
      </c>
      <c r="F137" s="6" t="s">
        <v>390</v>
      </c>
      <c r="G137" s="5"/>
      <c r="H137" s="5" t="s">
        <v>391</v>
      </c>
      <c r="I137" s="7"/>
      <c r="J137" s="7"/>
      <c r="K137" s="2">
        <v>1</v>
      </c>
      <c r="L137" s="8">
        <v>300</v>
      </c>
      <c r="M137" s="8"/>
      <c r="N137" s="32" t="s">
        <v>44</v>
      </c>
      <c r="O137" s="32"/>
      <c r="P137" s="32"/>
      <c r="Q137" s="32" t="s">
        <v>99</v>
      </c>
      <c r="R137" s="32"/>
      <c r="S137" s="32"/>
      <c r="U137" s="9">
        <v>111.8</v>
      </c>
      <c r="V137" s="5" t="s">
        <v>33</v>
      </c>
      <c r="X137" s="5" t="s">
        <v>44</v>
      </c>
      <c r="Y137" s="10">
        <f>VLOOKUP(Tabela3[[#This Row],[SISTEMA]],'[1]Resultado Geral'!$D$2:$J$171,7,0)</f>
        <v>4.5554012215452697E-3</v>
      </c>
    </row>
    <row r="138" spans="1:25" ht="14.5" customHeight="1">
      <c r="A138" s="2">
        <v>249</v>
      </c>
      <c r="B138" s="2" t="str">
        <f>VLOOKUP(Tabela3[[#This Row],[COORDENAÇÃO]],[1]Mun!$D$1:$F$137,3,FALSE)</f>
        <v>Lote 1</v>
      </c>
      <c r="C138" s="5" t="str">
        <f>VLOOKUP(Tabela3[[#This Row],[COORDENAÇÃO]],[1]Mun!$D$1:$E$137,2,FALSE)</f>
        <v>GPM</v>
      </c>
      <c r="D138" s="5" t="s">
        <v>95</v>
      </c>
      <c r="E138" s="5" t="s">
        <v>318</v>
      </c>
      <c r="F138" s="17" t="s">
        <v>392</v>
      </c>
      <c r="G138" s="5"/>
      <c r="H138" s="5"/>
      <c r="I138" s="7"/>
      <c r="J138" s="7"/>
      <c r="K138" s="2"/>
      <c r="L138" s="13"/>
      <c r="M138" s="13"/>
      <c r="N138" s="14"/>
      <c r="O138" s="16"/>
      <c r="P138" s="16"/>
      <c r="Q138" s="16"/>
      <c r="R138" s="16"/>
      <c r="S138" s="16"/>
      <c r="U138" s="9">
        <v>81.8</v>
      </c>
      <c r="Y138" s="10" t="e">
        <f>VLOOKUP(Tabela3[[#This Row],[SISTEMA]],'[1]Resultado Geral'!$D$2:$J$171,7,0)</f>
        <v>#N/A</v>
      </c>
    </row>
    <row r="139" spans="1:25" ht="14.5" customHeight="1">
      <c r="A139" s="2">
        <v>170</v>
      </c>
      <c r="B139" s="2" t="str">
        <f>VLOOKUP(Tabela3[[#This Row],[COORDENAÇÃO]],[1]Mun!$D$1:$F$137,3,FALSE)</f>
        <v>Lote 3</v>
      </c>
      <c r="C139" s="5" t="str">
        <f>VLOOKUP(Tabela3[[#This Row],[COORDENAÇÃO]],[1]Mun!$D$1:$E$137,2,FALSE)</f>
        <v>GPR SERTAO</v>
      </c>
      <c r="D139" s="5" t="s">
        <v>34</v>
      </c>
      <c r="E139" s="5" t="s">
        <v>393</v>
      </c>
      <c r="F139" s="6" t="s">
        <v>394</v>
      </c>
      <c r="G139" s="5"/>
      <c r="H139" s="5" t="s">
        <v>38</v>
      </c>
      <c r="I139" s="7">
        <v>-8.0621170000000006</v>
      </c>
      <c r="J139" s="7">
        <v>-37.354404000000002</v>
      </c>
      <c r="K139" s="2" t="s">
        <v>39</v>
      </c>
      <c r="L139" s="8" t="s">
        <v>39</v>
      </c>
      <c r="M139" s="8"/>
      <c r="N139" s="16" t="s">
        <v>39</v>
      </c>
      <c r="O139" s="16"/>
      <c r="P139" s="16"/>
      <c r="Q139" s="16"/>
      <c r="R139" s="16"/>
      <c r="S139" s="16"/>
      <c r="U139" s="9">
        <v>138.9</v>
      </c>
      <c r="X139" s="5" t="s">
        <v>44</v>
      </c>
      <c r="Y139" s="10">
        <f>VLOOKUP(Tabela3[[#This Row],[SISTEMA]],'[1]Resultado Geral'!$D$2:$J$171,7,0)</f>
        <v>8.4920507188461665E-4</v>
      </c>
    </row>
    <row r="140" spans="1:25" ht="14.5" customHeight="1">
      <c r="A140" s="2">
        <v>127</v>
      </c>
      <c r="B140" s="2" t="str">
        <f>VLOOKUP(Tabela3[[#This Row],[COORDENAÇÃO]],[1]Mun!$D$1:$F$137,3,FALSE)</f>
        <v>Lote 1</v>
      </c>
      <c r="C140" s="5" t="str">
        <f>VLOOKUP(Tabela3[[#This Row],[COORDENAÇÃO]],[1]Mun!$D$1:$E$137,2,FALSE)</f>
        <v>GPM</v>
      </c>
      <c r="D140" s="5" t="s">
        <v>40</v>
      </c>
      <c r="E140" s="5" t="s">
        <v>395</v>
      </c>
      <c r="F140" s="6" t="s">
        <v>396</v>
      </c>
      <c r="G140" s="5"/>
      <c r="H140" s="5" t="s">
        <v>397</v>
      </c>
      <c r="I140" s="7"/>
      <c r="J140" s="7"/>
      <c r="K140" s="2">
        <v>1</v>
      </c>
      <c r="L140" s="8">
        <v>300</v>
      </c>
      <c r="M140" s="8"/>
      <c r="N140" s="11" t="s">
        <v>44</v>
      </c>
      <c r="O140" s="2"/>
      <c r="P140" s="2"/>
      <c r="Q140" s="2"/>
      <c r="R140" s="2"/>
      <c r="S140" s="2"/>
      <c r="U140" s="9">
        <v>79.3</v>
      </c>
      <c r="X140" s="5" t="s">
        <v>44</v>
      </c>
      <c r="Y140" s="10">
        <f>VLOOKUP(Tabela3[[#This Row],[SISTEMA]],'[1]Resultado Geral'!$D$2:$J$171,7,0)</f>
        <v>1.6794861924620383E-3</v>
      </c>
    </row>
    <row r="141" spans="1:25">
      <c r="A141" s="2">
        <v>145</v>
      </c>
      <c r="B141" s="2" t="str">
        <f>VLOOKUP(Tabela3[[#This Row],[COORDENAÇÃO]],[1]Mun!$D$1:$F$137,3,FALSE)</f>
        <v>Lote 1</v>
      </c>
      <c r="C141" s="5" t="str">
        <f>VLOOKUP(Tabela3[[#This Row],[COORDENAÇÃO]],[1]Mun!$D$1:$E$137,2,FALSE)</f>
        <v>GPM</v>
      </c>
      <c r="D141" s="5" t="s">
        <v>40</v>
      </c>
      <c r="E141" s="5" t="s">
        <v>398</v>
      </c>
      <c r="F141" s="6" t="s">
        <v>399</v>
      </c>
      <c r="G141" s="5"/>
      <c r="H141" s="5" t="s">
        <v>400</v>
      </c>
      <c r="I141" s="7"/>
      <c r="J141" s="7"/>
      <c r="K141" s="2">
        <v>1</v>
      </c>
      <c r="L141" s="8">
        <v>150</v>
      </c>
      <c r="M141" s="8"/>
      <c r="N141" s="11" t="s">
        <v>44</v>
      </c>
      <c r="O141" s="2"/>
      <c r="P141" s="2"/>
      <c r="Q141" s="2"/>
      <c r="R141" s="2"/>
      <c r="S141" s="2"/>
      <c r="U141" s="9">
        <v>153.80000000000001</v>
      </c>
      <c r="X141" s="5" t="s">
        <v>44</v>
      </c>
      <c r="Y141" s="10">
        <f>VLOOKUP(Tabela3[[#This Row],[SISTEMA]],'[1]Resultado Geral'!$D$2:$J$171,7,0)</f>
        <v>1.1415996796655104E-3</v>
      </c>
    </row>
    <row r="142" spans="1:25" ht="14.5" customHeight="1">
      <c r="A142" s="2">
        <v>71</v>
      </c>
      <c r="B142" s="2" t="str">
        <f>VLOOKUP(Tabela3[[#This Row],[COORDENAÇÃO]],[1]Mun!$D$1:$F$137,3,FALSE)</f>
        <v>Lote 1</v>
      </c>
      <c r="C142" s="5" t="str">
        <f>VLOOKUP(Tabela3[[#This Row],[COORDENAÇÃO]],[1]Mun!$D$1:$E$137,2,FALSE)</f>
        <v>GPM</v>
      </c>
      <c r="D142" s="5" t="s">
        <v>40</v>
      </c>
      <c r="E142" s="5" t="s">
        <v>389</v>
      </c>
      <c r="F142" s="6" t="s">
        <v>390</v>
      </c>
      <c r="G142" s="5"/>
      <c r="H142" s="5" t="s">
        <v>401</v>
      </c>
      <c r="I142" s="7"/>
      <c r="J142" s="7"/>
      <c r="K142" s="2">
        <v>1</v>
      </c>
      <c r="L142" s="8">
        <v>250</v>
      </c>
      <c r="M142" s="8"/>
      <c r="N142" s="32" t="s">
        <v>32</v>
      </c>
      <c r="O142" s="32" t="s">
        <v>132</v>
      </c>
      <c r="P142" s="32"/>
      <c r="Q142" s="32" t="s">
        <v>44</v>
      </c>
      <c r="R142" s="32"/>
      <c r="S142" s="32"/>
      <c r="U142" s="9">
        <v>111.8</v>
      </c>
      <c r="V142" s="5" t="s">
        <v>33</v>
      </c>
      <c r="X142" s="5" t="s">
        <v>44</v>
      </c>
      <c r="Y142" s="10">
        <f>VLOOKUP(Tabela3[[#This Row],[SISTEMA]],'[1]Resultado Geral'!$D$2:$J$171,7,0)</f>
        <v>4.5554012215452697E-3</v>
      </c>
    </row>
    <row r="143" spans="1:25" ht="14.5" customHeight="1">
      <c r="A143" s="2">
        <v>27</v>
      </c>
      <c r="B143" s="2" t="str">
        <f>VLOOKUP(Tabela3[[#This Row],[COORDENAÇÃO]],[1]Mun!$D$1:$F$137,3,FALSE)</f>
        <v>Lote 1</v>
      </c>
      <c r="C143" s="5" t="str">
        <f>VLOOKUP(Tabela3[[#This Row],[COORDENAÇÃO]],[1]Mun!$D$1:$E$137,2,FALSE)</f>
        <v>GPM</v>
      </c>
      <c r="D143" s="5" t="s">
        <v>40</v>
      </c>
      <c r="E143" s="5" t="s">
        <v>402</v>
      </c>
      <c r="F143" s="6" t="s">
        <v>403</v>
      </c>
      <c r="G143" s="5"/>
      <c r="H143" s="5" t="s">
        <v>404</v>
      </c>
      <c r="I143" s="7"/>
      <c r="J143" s="7"/>
      <c r="K143" s="2">
        <v>1</v>
      </c>
      <c r="L143" s="8">
        <v>300</v>
      </c>
      <c r="M143" s="8"/>
      <c r="N143" s="11" t="s">
        <v>44</v>
      </c>
      <c r="O143" s="2"/>
      <c r="P143" s="2"/>
      <c r="Q143" s="2" t="s">
        <v>44</v>
      </c>
      <c r="R143" s="2"/>
      <c r="S143" s="2"/>
      <c r="U143" s="9">
        <v>88.6</v>
      </c>
      <c r="V143" s="5" t="s">
        <v>33</v>
      </c>
      <c r="W143" s="5" t="s">
        <v>32</v>
      </c>
      <c r="X143" s="5" t="s">
        <v>44</v>
      </c>
      <c r="Y143" s="10">
        <f>VLOOKUP(Tabela3[[#This Row],[SISTEMA]],'[1]Resultado Geral'!$D$2:$J$171,7,0)</f>
        <v>1.3686343191424612E-2</v>
      </c>
    </row>
    <row r="144" spans="1:25" ht="14.5" customHeight="1">
      <c r="A144" s="2">
        <v>54</v>
      </c>
      <c r="B144" s="2" t="str">
        <f>VLOOKUP(Tabela3[[#This Row],[COORDENAÇÃO]],[1]Mun!$D$1:$F$137,3,FALSE)</f>
        <v>Lote 1</v>
      </c>
      <c r="C144" s="5" t="str">
        <f>VLOOKUP(Tabela3[[#This Row],[COORDENAÇÃO]],[1]Mun!$D$1:$E$137,2,FALSE)</f>
        <v>GPM</v>
      </c>
      <c r="D144" s="5" t="s">
        <v>40</v>
      </c>
      <c r="E144" s="5" t="s">
        <v>405</v>
      </c>
      <c r="F144" s="6" t="s">
        <v>406</v>
      </c>
      <c r="G144" s="5"/>
      <c r="H144" s="5" t="s">
        <v>407</v>
      </c>
      <c r="I144" s="7"/>
      <c r="J144" s="7"/>
      <c r="K144" s="2">
        <v>1</v>
      </c>
      <c r="L144" s="8">
        <v>300</v>
      </c>
      <c r="M144" s="8"/>
      <c r="N144" s="11" t="s">
        <v>44</v>
      </c>
      <c r="O144" s="2"/>
      <c r="P144" s="2"/>
      <c r="Q144" s="2" t="s">
        <v>44</v>
      </c>
      <c r="R144" s="2"/>
      <c r="S144" s="2"/>
      <c r="U144" s="9">
        <v>122.7</v>
      </c>
      <c r="V144" s="5" t="s">
        <v>33</v>
      </c>
      <c r="W144" s="5" t="s">
        <v>32</v>
      </c>
      <c r="X144" s="5" t="s">
        <v>44</v>
      </c>
      <c r="Y144" s="10">
        <f>VLOOKUP(Tabela3[[#This Row],[SISTEMA]],'[1]Resultado Geral'!$D$2:$J$171,7,0)</f>
        <v>5.706862222068977E-3</v>
      </c>
    </row>
    <row r="145" spans="1:26" ht="14.5" customHeight="1">
      <c r="A145" s="2">
        <v>55</v>
      </c>
      <c r="B145" s="2" t="str">
        <f>VLOOKUP(Tabela3[[#This Row],[COORDENAÇÃO]],[1]Mun!$D$1:$F$137,3,FALSE)</f>
        <v>Lote 1</v>
      </c>
      <c r="C145" s="5" t="str">
        <f>VLOOKUP(Tabela3[[#This Row],[COORDENAÇÃO]],[1]Mun!$D$1:$E$137,2,FALSE)</f>
        <v>GPM</v>
      </c>
      <c r="D145" s="5" t="s">
        <v>40</v>
      </c>
      <c r="E145" s="5" t="s">
        <v>405</v>
      </c>
      <c r="F145" s="6" t="s">
        <v>406</v>
      </c>
      <c r="G145" s="5"/>
      <c r="H145" s="5" t="s">
        <v>408</v>
      </c>
      <c r="I145" s="7"/>
      <c r="J145" s="7"/>
      <c r="K145" s="2">
        <v>1</v>
      </c>
      <c r="L145" s="8">
        <v>300</v>
      </c>
      <c r="M145" s="8"/>
      <c r="N145" s="11" t="s">
        <v>44</v>
      </c>
      <c r="O145" s="2"/>
      <c r="P145" s="2"/>
      <c r="Q145" s="2" t="s">
        <v>44</v>
      </c>
      <c r="R145" s="2"/>
      <c r="S145" s="2"/>
      <c r="U145" s="9">
        <v>122.7</v>
      </c>
      <c r="V145" s="5" t="s">
        <v>33</v>
      </c>
      <c r="W145" s="5" t="s">
        <v>32</v>
      </c>
      <c r="X145" s="5" t="s">
        <v>44</v>
      </c>
      <c r="Y145" s="10">
        <f>VLOOKUP(Tabela3[[#This Row],[SISTEMA]],'[1]Resultado Geral'!$D$2:$J$171,7,0)</f>
        <v>5.706862222068977E-3</v>
      </c>
    </row>
    <row r="146" spans="1:26" ht="14.5" customHeight="1">
      <c r="A146" s="2">
        <v>90</v>
      </c>
      <c r="B146" s="2" t="str">
        <f>VLOOKUP(Tabela3[[#This Row],[COORDENAÇÃO]],[1]Mun!$D$1:$F$137,3,FALSE)</f>
        <v>Lote 1</v>
      </c>
      <c r="C146" s="5" t="str">
        <f>VLOOKUP(Tabela3[[#This Row],[COORDENAÇÃO]],[1]Mun!$D$1:$E$137,2,FALSE)</f>
        <v>GPM</v>
      </c>
      <c r="D146" s="5" t="s">
        <v>40</v>
      </c>
      <c r="E146" s="5" t="s">
        <v>409</v>
      </c>
      <c r="F146" s="6" t="s">
        <v>410</v>
      </c>
      <c r="G146" s="5" t="s">
        <v>411</v>
      </c>
      <c r="H146" s="5" t="s">
        <v>412</v>
      </c>
      <c r="I146" s="7">
        <v>-8.8971749999999989</v>
      </c>
      <c r="J146" s="7">
        <v>-35.163372222222222</v>
      </c>
      <c r="K146" s="2">
        <v>1</v>
      </c>
      <c r="L146" s="8">
        <v>400</v>
      </c>
      <c r="M146" s="8"/>
      <c r="N146" s="11" t="s">
        <v>44</v>
      </c>
      <c r="O146" s="2"/>
      <c r="P146" s="2"/>
      <c r="Q146" s="2" t="s">
        <v>44</v>
      </c>
      <c r="R146" s="2"/>
      <c r="S146" s="2"/>
      <c r="U146" s="9">
        <v>147.19999999999999</v>
      </c>
      <c r="V146" s="5" t="s">
        <v>33</v>
      </c>
      <c r="X146" s="5" t="s">
        <v>32</v>
      </c>
      <c r="Y146" s="10">
        <f>VLOOKUP(Tabela3[[#This Row],[SISTEMA]],'[1]Resultado Geral'!$D$2:$J$171,7,0)</f>
        <v>3.0943145723890488E-3</v>
      </c>
    </row>
    <row r="147" spans="1:26" ht="14.5" customHeight="1">
      <c r="A147" s="2">
        <v>169</v>
      </c>
      <c r="B147" s="2" t="str">
        <f>VLOOKUP(Tabela3[[#This Row],[COORDENAÇÃO]],[1]Mun!$D$1:$F$137,3,FALSE)</f>
        <v>Lote 1</v>
      </c>
      <c r="C147" s="5" t="str">
        <f>VLOOKUP(Tabela3[[#This Row],[COORDENAÇÃO]],[1]Mun!$D$1:$E$137,2,FALSE)</f>
        <v>GPM</v>
      </c>
      <c r="D147" s="5" t="s">
        <v>40</v>
      </c>
      <c r="E147" s="5" t="s">
        <v>41</v>
      </c>
      <c r="F147" s="6" t="s">
        <v>413</v>
      </c>
      <c r="G147" s="5"/>
      <c r="H147" s="5" t="s">
        <v>43</v>
      </c>
      <c r="I147" s="7"/>
      <c r="J147" s="7"/>
      <c r="K147" s="2" t="s">
        <v>39</v>
      </c>
      <c r="L147" s="8" t="s">
        <v>39</v>
      </c>
      <c r="M147" s="8"/>
      <c r="N147" s="16" t="s">
        <v>39</v>
      </c>
      <c r="O147" s="16"/>
      <c r="P147" s="16"/>
      <c r="Q147" s="16"/>
      <c r="R147" s="16"/>
      <c r="S147" s="16"/>
      <c r="U147" s="9">
        <v>150.4</v>
      </c>
      <c r="V147" s="5" t="s">
        <v>33</v>
      </c>
      <c r="X147" s="5" t="s">
        <v>44</v>
      </c>
      <c r="Y147" s="10">
        <f>VLOOKUP(Tabela3[[#This Row],[SISTEMA]],'[1]Resultado Geral'!$D$2:$J$171,7,0)</f>
        <v>9.0350677995830366E-4</v>
      </c>
    </row>
    <row r="148" spans="1:26" ht="14.5" customHeight="1">
      <c r="A148" s="2">
        <v>124</v>
      </c>
      <c r="B148" s="2" t="str">
        <f>VLOOKUP(Tabela3[[#This Row],[COORDENAÇÃO]],[1]Mun!$D$1:$F$137,3,FALSE)</f>
        <v>Lote 1</v>
      </c>
      <c r="C148" s="5" t="str">
        <f>VLOOKUP(Tabela3[[#This Row],[COORDENAÇÃO]],[1]Mun!$D$1:$E$137,2,FALSE)</f>
        <v>GPM</v>
      </c>
      <c r="D148" s="5" t="s">
        <v>95</v>
      </c>
      <c r="E148" s="5" t="s">
        <v>414</v>
      </c>
      <c r="F148" s="6" t="s">
        <v>415</v>
      </c>
      <c r="G148" s="5" t="s">
        <v>416</v>
      </c>
      <c r="H148" s="5" t="s">
        <v>416</v>
      </c>
      <c r="I148" s="7">
        <v>-7.8567</v>
      </c>
      <c r="J148" s="7">
        <v>-35.211530000000003</v>
      </c>
      <c r="K148" s="2">
        <v>1</v>
      </c>
      <c r="L148" s="8">
        <v>300</v>
      </c>
      <c r="M148" s="8"/>
      <c r="N148" s="11" t="s">
        <v>44</v>
      </c>
      <c r="O148" s="2"/>
      <c r="P148" s="2"/>
      <c r="Q148" s="2"/>
      <c r="R148" s="2"/>
      <c r="S148" s="2"/>
      <c r="U148" s="9">
        <v>144.19999999999999</v>
      </c>
      <c r="W148" s="5" t="s">
        <v>32</v>
      </c>
      <c r="X148" s="5" t="s">
        <v>44</v>
      </c>
      <c r="Y148" s="10">
        <f>VLOOKUP(Tabela3[[#This Row],[SISTEMA]],'[1]Resultado Geral'!$D$2:$J$171,7,0)</f>
        <v>1.5869508612881068E-3</v>
      </c>
    </row>
    <row r="149" spans="1:26" ht="14.5" customHeight="1">
      <c r="A149" s="2">
        <v>46</v>
      </c>
      <c r="B149" s="2" t="str">
        <f>VLOOKUP(Tabela3[[#This Row],[COORDENAÇÃO]],[1]Mun!$D$1:$F$137,3,FALSE)</f>
        <v>Lote 1</v>
      </c>
      <c r="C149" s="5" t="str">
        <f>VLOOKUP(Tabela3[[#This Row],[COORDENAÇÃO]],[1]Mun!$D$1:$E$137,2,FALSE)</f>
        <v>GPM</v>
      </c>
      <c r="D149" s="5" t="s">
        <v>95</v>
      </c>
      <c r="E149" s="5" t="s">
        <v>312</v>
      </c>
      <c r="F149" s="6" t="s">
        <v>339</v>
      </c>
      <c r="G149" s="5" t="s">
        <v>340</v>
      </c>
      <c r="H149" s="5" t="s">
        <v>417</v>
      </c>
      <c r="I149" s="7">
        <v>-7.6718200000000003</v>
      </c>
      <c r="J149" s="7">
        <v>-35.411999999999999</v>
      </c>
      <c r="K149" s="2">
        <v>1</v>
      </c>
      <c r="L149" s="8">
        <v>400</v>
      </c>
      <c r="M149" s="8"/>
      <c r="N149" s="11" t="s">
        <v>44</v>
      </c>
      <c r="O149" s="2"/>
      <c r="P149" s="2"/>
      <c r="Q149" s="2" t="s">
        <v>99</v>
      </c>
      <c r="R149" s="2"/>
      <c r="S149" s="2"/>
      <c r="U149" s="9">
        <v>136</v>
      </c>
      <c r="V149" s="5" t="s">
        <v>33</v>
      </c>
      <c r="X149" s="5" t="s">
        <v>44</v>
      </c>
      <c r="Y149" s="10">
        <f>VLOOKUP(Tabela3[[#This Row],[SISTEMA]],'[1]Resultado Geral'!$D$2:$J$171,7,0)</f>
        <v>8.0041307478669679E-3</v>
      </c>
      <c r="Z149" s="19"/>
    </row>
    <row r="150" spans="1:26" ht="14.5" customHeight="1">
      <c r="A150" s="2">
        <v>10</v>
      </c>
      <c r="B150" s="2" t="str">
        <f>VLOOKUP(Tabela3[[#This Row],[COORDENAÇÃO]],[1]Mun!$D$1:$F$137,3,FALSE)</f>
        <v>Lote 1</v>
      </c>
      <c r="C150" s="5" t="str">
        <f>VLOOKUP(Tabela3[[#This Row],[COORDENAÇÃO]],[1]Mun!$D$1:$E$137,2,FALSE)</f>
        <v>GPM</v>
      </c>
      <c r="D150" s="5" t="s">
        <v>84</v>
      </c>
      <c r="E150" s="5" t="s">
        <v>329</v>
      </c>
      <c r="F150" s="6" t="s">
        <v>330</v>
      </c>
      <c r="G150" s="5"/>
      <c r="H150" s="5" t="s">
        <v>418</v>
      </c>
      <c r="I150" s="7">
        <v>-7.835032</v>
      </c>
      <c r="J150" s="7">
        <v>-35.033380000000001</v>
      </c>
      <c r="K150" s="2">
        <v>1</v>
      </c>
      <c r="L150" s="8">
        <v>1200</v>
      </c>
      <c r="M150" s="8" t="s">
        <v>167</v>
      </c>
      <c r="N150" s="11" t="s">
        <v>44</v>
      </c>
      <c r="O150" s="2"/>
      <c r="P150" s="2"/>
      <c r="Q150" s="2" t="s">
        <v>44</v>
      </c>
      <c r="R150" s="2"/>
      <c r="S150" s="2"/>
      <c r="U150" s="9">
        <v>30.3</v>
      </c>
      <c r="V150" s="5" t="s">
        <v>33</v>
      </c>
      <c r="X150" s="5" t="s">
        <v>44</v>
      </c>
      <c r="Y150" s="10">
        <f>VLOOKUP(Tabela3[[#This Row],[SISTEMA]],'[1]Resultado Geral'!$D$2:$J$171,7,0)</f>
        <v>6.5830400556897831E-2</v>
      </c>
      <c r="Z150" s="24"/>
    </row>
    <row r="151" spans="1:26" ht="14.5" customHeight="1">
      <c r="A151" s="2">
        <v>53</v>
      </c>
      <c r="B151" s="2" t="str">
        <f>VLOOKUP(Tabela3[[#This Row],[COORDENAÇÃO]],[1]Mun!$D$1:$F$137,3,FALSE)</f>
        <v>Lote 1</v>
      </c>
      <c r="C151" s="5" t="str">
        <f>VLOOKUP(Tabela3[[#This Row],[COORDENAÇÃO]],[1]Mun!$D$1:$E$137,2,FALSE)</f>
        <v>GPM</v>
      </c>
      <c r="D151" s="5" t="s">
        <v>84</v>
      </c>
      <c r="E151" s="5" t="s">
        <v>419</v>
      </c>
      <c r="F151" s="6" t="s">
        <v>420</v>
      </c>
      <c r="G151" s="5"/>
      <c r="H151" s="5" t="s">
        <v>421</v>
      </c>
      <c r="I151" s="7">
        <v>-7.9741499999999998</v>
      </c>
      <c r="J151" s="7">
        <v>-34.929560000000002</v>
      </c>
      <c r="K151" s="2">
        <v>1</v>
      </c>
      <c r="L151" s="8">
        <v>600</v>
      </c>
      <c r="M151" s="8"/>
      <c r="N151" s="2" t="s">
        <v>32</v>
      </c>
      <c r="O151" s="2" t="s">
        <v>132</v>
      </c>
      <c r="P151" s="2"/>
      <c r="Q151" s="2"/>
      <c r="R151" s="2"/>
      <c r="S151" s="2"/>
      <c r="U151" s="9">
        <v>11.6</v>
      </c>
      <c r="V151" s="5" t="s">
        <v>33</v>
      </c>
      <c r="X151" s="5" t="s">
        <v>32</v>
      </c>
      <c r="Y151" s="10">
        <f>VLOOKUP(Tabela3[[#This Row],[SISTEMA]],'[1]Resultado Geral'!$D$2:$J$171,7,0)</f>
        <v>6.2973763251991275E-3</v>
      </c>
    </row>
    <row r="152" spans="1:26" ht="14.5" customHeight="1">
      <c r="A152" s="2">
        <v>171</v>
      </c>
      <c r="B152" s="2" t="str">
        <f>VLOOKUP(Tabela3[[#This Row],[COORDENAÇÃO]],[1]Mun!$D$1:$F$137,3,FALSE)</f>
        <v>Lote 1</v>
      </c>
      <c r="C152" s="5" t="str">
        <f>VLOOKUP(Tabela3[[#This Row],[COORDENAÇÃO]],[1]Mun!$D$1:$E$137,2,FALSE)</f>
        <v>GPM</v>
      </c>
      <c r="D152" s="5" t="s">
        <v>422</v>
      </c>
      <c r="E152" s="5" t="s">
        <v>423</v>
      </c>
      <c r="F152" s="6" t="s">
        <v>424</v>
      </c>
      <c r="G152" s="5" t="s">
        <v>425</v>
      </c>
      <c r="H152" s="5" t="s">
        <v>425</v>
      </c>
      <c r="I152" s="7">
        <v>-8.5069444444444446</v>
      </c>
      <c r="J152" s="7">
        <v>-35.121944444444445</v>
      </c>
      <c r="K152" s="2">
        <v>1</v>
      </c>
      <c r="L152" s="8">
        <v>200</v>
      </c>
      <c r="M152" s="8"/>
      <c r="N152" s="14" t="s">
        <v>44</v>
      </c>
      <c r="O152" s="16"/>
      <c r="P152" s="16"/>
      <c r="Q152" s="16"/>
      <c r="R152" s="16"/>
      <c r="S152" s="16"/>
      <c r="U152" s="9">
        <v>50.6</v>
      </c>
      <c r="W152" s="5" t="s">
        <v>32</v>
      </c>
      <c r="X152" s="5" t="s">
        <v>44</v>
      </c>
      <c r="Y152" s="10">
        <f>VLOOKUP(Tabela3[[#This Row],[SISTEMA]],'[1]Resultado Geral'!$D$2:$J$171,7,0)</f>
        <v>8.6742868132711891E-4</v>
      </c>
    </row>
    <row r="153" spans="1:26" ht="14.5" customHeight="1">
      <c r="A153" s="2">
        <v>2</v>
      </c>
      <c r="B153" s="2" t="str">
        <f>VLOOKUP(Tabela3[[#This Row],[COORDENAÇÃO]],[1]Mun!$D$1:$F$137,3,FALSE)</f>
        <v>Lote 1</v>
      </c>
      <c r="C153" s="5" t="str">
        <f>VLOOKUP(Tabela3[[#This Row],[COORDENAÇÃO]],[1]Mun!$D$1:$E$137,2,FALSE)</f>
        <v>GPM</v>
      </c>
      <c r="D153" s="5" t="s">
        <v>325</v>
      </c>
      <c r="E153" s="5" t="s">
        <v>426</v>
      </c>
      <c r="F153" s="6" t="s">
        <v>427</v>
      </c>
      <c r="G153" s="5" t="s">
        <v>428</v>
      </c>
      <c r="H153" s="5" t="s">
        <v>429</v>
      </c>
      <c r="I153" s="7">
        <v>-8.0371277777777781</v>
      </c>
      <c r="J153" s="7">
        <v>-35.161505555555557</v>
      </c>
      <c r="K153" s="2">
        <v>1</v>
      </c>
      <c r="L153" s="8">
        <v>1600</v>
      </c>
      <c r="M153" s="8"/>
      <c r="N153" s="2" t="s">
        <v>32</v>
      </c>
      <c r="O153" s="2" t="s">
        <v>88</v>
      </c>
      <c r="P153" s="2"/>
      <c r="Q153" s="2" t="s">
        <v>44</v>
      </c>
      <c r="R153" s="2"/>
      <c r="S153" s="2"/>
      <c r="U153" s="9">
        <v>17.100000000000001</v>
      </c>
      <c r="V153" s="5" t="s">
        <v>33</v>
      </c>
      <c r="W153" s="5" t="s">
        <v>32</v>
      </c>
      <c r="X153" s="5" t="s">
        <v>32</v>
      </c>
      <c r="Y153" s="10">
        <f>VLOOKUP(Tabela3[[#This Row],[SISTEMA]],'[1]Resultado Geral'!$D$2:$J$171,7,0)</f>
        <v>0.11571740330207021</v>
      </c>
    </row>
    <row r="154" spans="1:26" ht="14.5" customHeight="1">
      <c r="A154" s="2">
        <v>4</v>
      </c>
      <c r="B154" s="2" t="str">
        <f>VLOOKUP(Tabela3[[#This Row],[COORDENAÇÃO]],[1]Mun!$D$1:$F$137,3,FALSE)</f>
        <v>Lote 1</v>
      </c>
      <c r="C154" s="5" t="str">
        <f>VLOOKUP(Tabela3[[#This Row],[COORDENAÇÃO]],[1]Mun!$D$1:$E$137,2,FALSE)</f>
        <v>GPM</v>
      </c>
      <c r="D154" s="5" t="s">
        <v>325</v>
      </c>
      <c r="E154" s="5" t="s">
        <v>426</v>
      </c>
      <c r="F154" s="6" t="s">
        <v>427</v>
      </c>
      <c r="G154" s="5" t="s">
        <v>428</v>
      </c>
      <c r="H154" s="5" t="s">
        <v>430</v>
      </c>
      <c r="I154" s="7">
        <v>-8.0930999999999997</v>
      </c>
      <c r="J154" s="7">
        <v>-35.03528</v>
      </c>
      <c r="K154" s="2">
        <v>1</v>
      </c>
      <c r="L154" s="8">
        <v>800</v>
      </c>
      <c r="M154" s="8"/>
      <c r="N154" s="2" t="s">
        <v>32</v>
      </c>
      <c r="O154" s="2" t="s">
        <v>88</v>
      </c>
      <c r="P154" s="2"/>
      <c r="Q154" s="2" t="s">
        <v>44</v>
      </c>
      <c r="R154" s="2"/>
      <c r="S154" s="2"/>
      <c r="U154" s="9">
        <v>17.100000000000001</v>
      </c>
      <c r="V154" s="5" t="s">
        <v>33</v>
      </c>
      <c r="W154" s="5" t="s">
        <v>32</v>
      </c>
      <c r="X154" s="5" t="s">
        <v>44</v>
      </c>
      <c r="Y154" s="10">
        <f>VLOOKUP(Tabela3[[#This Row],[SISTEMA]],'[1]Resultado Geral'!$D$2:$J$171,7,0)</f>
        <v>0.11571740330207021</v>
      </c>
    </row>
    <row r="155" spans="1:26" ht="14.5" customHeight="1">
      <c r="A155" s="2">
        <v>3</v>
      </c>
      <c r="B155" s="2" t="str">
        <f>VLOOKUP(Tabela3[[#This Row],[COORDENAÇÃO]],[1]Mun!$D$1:$F$137,3,FALSE)</f>
        <v>Lote 1</v>
      </c>
      <c r="C155" s="5" t="str">
        <f>VLOOKUP(Tabela3[[#This Row],[COORDENAÇÃO]],[1]Mun!$D$1:$E$137,2,FALSE)</f>
        <v>GPM</v>
      </c>
      <c r="D155" s="5" t="s">
        <v>325</v>
      </c>
      <c r="E155" s="5" t="s">
        <v>426</v>
      </c>
      <c r="F155" s="6" t="s">
        <v>427</v>
      </c>
      <c r="G155" s="5" t="s">
        <v>428</v>
      </c>
      <c r="H155" s="5" t="s">
        <v>431</v>
      </c>
      <c r="I155" s="7">
        <v>-7.9816099999999999</v>
      </c>
      <c r="J155" s="7">
        <v>-35.078189999999999</v>
      </c>
      <c r="K155" s="2">
        <v>1</v>
      </c>
      <c r="L155" s="8">
        <v>600</v>
      </c>
      <c r="M155" s="8"/>
      <c r="N155" s="2" t="s">
        <v>32</v>
      </c>
      <c r="O155" s="2" t="s">
        <v>88</v>
      </c>
      <c r="P155" s="2"/>
      <c r="Q155" s="2" t="s">
        <v>44</v>
      </c>
      <c r="R155" s="2"/>
      <c r="S155" s="2"/>
      <c r="U155" s="9">
        <v>17.100000000000001</v>
      </c>
      <c r="V155" s="5" t="s">
        <v>33</v>
      </c>
      <c r="W155" s="5" t="s">
        <v>32</v>
      </c>
      <c r="X155" s="5" t="s">
        <v>44</v>
      </c>
      <c r="Y155" s="10">
        <f>VLOOKUP(Tabela3[[#This Row],[SISTEMA]],'[1]Resultado Geral'!$D$2:$J$171,7,0)</f>
        <v>0.11571740330207021</v>
      </c>
    </row>
    <row r="156" spans="1:26" ht="14.5" customHeight="1">
      <c r="A156" s="2">
        <v>126</v>
      </c>
      <c r="B156" s="2" t="str">
        <f>VLOOKUP(Tabela3[[#This Row],[COORDENAÇÃO]],[1]Mun!$D$1:$F$137,3,FALSE)</f>
        <v>Lote 1</v>
      </c>
      <c r="C156" s="5" t="str">
        <f>VLOOKUP(Tabela3[[#This Row],[COORDENAÇÃO]],[1]Mun!$D$1:$E$137,2,FALSE)</f>
        <v>GPM</v>
      </c>
      <c r="D156" s="5" t="s">
        <v>422</v>
      </c>
      <c r="E156" s="5" t="s">
        <v>432</v>
      </c>
      <c r="F156" s="6" t="s">
        <v>433</v>
      </c>
      <c r="G156" s="5" t="s">
        <v>434</v>
      </c>
      <c r="H156" s="5" t="s">
        <v>434</v>
      </c>
      <c r="I156" s="7">
        <v>-8.299722222222222</v>
      </c>
      <c r="J156" s="7">
        <v>-35.074444444444445</v>
      </c>
      <c r="K156" s="2">
        <v>1</v>
      </c>
      <c r="L156" s="8">
        <v>250</v>
      </c>
      <c r="M156" s="8"/>
      <c r="N156" s="11" t="s">
        <v>44</v>
      </c>
      <c r="O156" s="2"/>
      <c r="P156" s="2"/>
      <c r="Q156" s="2"/>
      <c r="R156" s="2"/>
      <c r="S156" s="2"/>
      <c r="U156" s="9">
        <v>34</v>
      </c>
      <c r="W156" s="5" t="s">
        <v>32</v>
      </c>
      <c r="X156" s="5" t="s">
        <v>44</v>
      </c>
      <c r="Y156" s="10">
        <f>VLOOKUP(Tabela3[[#This Row],[SISTEMA]],'[1]Resultado Geral'!$D$2:$J$171,7,0)</f>
        <v>1.4681808992614523E-3</v>
      </c>
    </row>
    <row r="157" spans="1:26" ht="14.5" customHeight="1">
      <c r="A157" s="2">
        <v>125</v>
      </c>
      <c r="B157" s="2" t="str">
        <f>VLOOKUP(Tabela3[[#This Row],[COORDENAÇÃO]],[1]Mun!$D$1:$F$137,3,FALSE)</f>
        <v>Lote 1</v>
      </c>
      <c r="C157" s="5" t="str">
        <f>VLOOKUP(Tabela3[[#This Row],[COORDENAÇÃO]],[1]Mun!$D$1:$E$137,2,FALSE)</f>
        <v>GPM</v>
      </c>
      <c r="D157" s="5" t="s">
        <v>422</v>
      </c>
      <c r="E157" s="5" t="s">
        <v>432</v>
      </c>
      <c r="F157" s="6" t="s">
        <v>433</v>
      </c>
      <c r="G157" s="5" t="s">
        <v>435</v>
      </c>
      <c r="H157" s="5" t="s">
        <v>436</v>
      </c>
      <c r="I157" s="7">
        <v>-8.2983333333333338</v>
      </c>
      <c r="J157" s="7">
        <v>-35.067777777777778</v>
      </c>
      <c r="K157" s="2">
        <v>1</v>
      </c>
      <c r="L157" s="8">
        <v>150</v>
      </c>
      <c r="M157" s="8"/>
      <c r="N157" s="11" t="s">
        <v>44</v>
      </c>
      <c r="O157" s="2"/>
      <c r="P157" s="2"/>
      <c r="Q157" s="2"/>
      <c r="R157" s="2"/>
      <c r="S157" s="2"/>
      <c r="U157" s="9">
        <v>34</v>
      </c>
      <c r="W157" s="5" t="s">
        <v>32</v>
      </c>
      <c r="X157" s="5" t="s">
        <v>44</v>
      </c>
      <c r="Y157" s="10">
        <f>VLOOKUP(Tabela3[[#This Row],[SISTEMA]],'[1]Resultado Geral'!$D$2:$J$171,7,0)</f>
        <v>1.4681808992614523E-3</v>
      </c>
    </row>
    <row r="158" spans="1:26" ht="14.5" customHeight="1">
      <c r="A158" s="2">
        <v>180</v>
      </c>
      <c r="B158" s="2" t="str">
        <f>VLOOKUP(Tabela3[[#This Row],[COORDENAÇÃO]],[1]Mun!$D$1:$F$137,3,FALSE)</f>
        <v>Lote 1</v>
      </c>
      <c r="C158" s="5" t="s">
        <v>39</v>
      </c>
      <c r="D158" s="5" t="s">
        <v>321</v>
      </c>
      <c r="E158" s="5" t="s">
        <v>322</v>
      </c>
      <c r="F158" s="6" t="s">
        <v>437</v>
      </c>
      <c r="G158" s="5"/>
      <c r="H158" s="5" t="s">
        <v>438</v>
      </c>
      <c r="I158" s="7">
        <v>-3.8459699999999999</v>
      </c>
      <c r="J158" s="7">
        <v>-32.428600000000003</v>
      </c>
      <c r="K158" s="2">
        <v>1</v>
      </c>
      <c r="L158" s="8">
        <v>300</v>
      </c>
      <c r="M158" s="8"/>
      <c r="N158" s="16" t="s">
        <v>32</v>
      </c>
      <c r="O158" s="2" t="s">
        <v>439</v>
      </c>
      <c r="P158" s="2"/>
      <c r="Q158" s="16"/>
      <c r="R158" s="16"/>
      <c r="S158" s="16"/>
      <c r="U158" s="9" t="s">
        <v>39</v>
      </c>
      <c r="X158" s="5" t="s">
        <v>44</v>
      </c>
      <c r="Y158" s="10">
        <f>VLOOKUP(Tabela3[[#This Row],[SISTEMA]],'[1]Resultado Geral'!$D$2:$J$171,7,0)</f>
        <v>6.674702731458385E-4</v>
      </c>
    </row>
    <row r="159" spans="1:26" ht="14.5" customHeight="1">
      <c r="A159" s="2">
        <v>181</v>
      </c>
      <c r="B159" s="2" t="str">
        <f>VLOOKUP(Tabela3[[#This Row],[COORDENAÇÃO]],[1]Mun!$D$1:$F$137,3,FALSE)</f>
        <v>Lote 1</v>
      </c>
      <c r="C159" s="5" t="s">
        <v>39</v>
      </c>
      <c r="D159" s="5" t="s">
        <v>321</v>
      </c>
      <c r="E159" s="5" t="s">
        <v>322</v>
      </c>
      <c r="F159" s="6" t="s">
        <v>437</v>
      </c>
      <c r="G159" s="5"/>
      <c r="H159" s="5" t="s">
        <v>440</v>
      </c>
      <c r="I159" s="7">
        <v>-3.8459699999999999</v>
      </c>
      <c r="J159" s="7">
        <v>-32.428600000000003</v>
      </c>
      <c r="K159" s="2">
        <v>1</v>
      </c>
      <c r="L159" s="8">
        <v>300</v>
      </c>
      <c r="M159" s="8"/>
      <c r="N159" s="16" t="s">
        <v>32</v>
      </c>
      <c r="O159" s="2" t="s">
        <v>439</v>
      </c>
      <c r="P159" s="2"/>
      <c r="Q159" s="16"/>
      <c r="R159" s="16"/>
      <c r="S159" s="16"/>
      <c r="U159" s="9" t="s">
        <v>39</v>
      </c>
      <c r="X159" s="5" t="s">
        <v>44</v>
      </c>
      <c r="Y159" s="10">
        <f>VLOOKUP(Tabela3[[#This Row],[SISTEMA]],'[1]Resultado Geral'!$D$2:$J$171,7,0)</f>
        <v>6.674702731458385E-4</v>
      </c>
    </row>
    <row r="160" spans="1:26" ht="14.5" customHeight="1">
      <c r="A160" s="2">
        <v>214</v>
      </c>
      <c r="B160" s="2" t="str">
        <f>VLOOKUP(Tabela3[[#This Row],[COORDENAÇÃO]],[1]Mun!$D$1:$F$137,3,FALSE)</f>
        <v>Lote 3</v>
      </c>
      <c r="C160" s="5" t="str">
        <f>VLOOKUP(Tabela3[[#This Row],[COORDENAÇÃO]],[1]Mun!$D$1:$E$137,2,FALSE)</f>
        <v>GPR SERTAO</v>
      </c>
      <c r="D160" s="5" t="s">
        <v>230</v>
      </c>
      <c r="E160" s="5" t="s">
        <v>441</v>
      </c>
      <c r="F160" s="6" t="s">
        <v>442</v>
      </c>
      <c r="G160" s="5"/>
      <c r="H160" s="5" t="s">
        <v>233</v>
      </c>
      <c r="I160" s="7">
        <v>-8.6229999999999993</v>
      </c>
      <c r="J160" s="7">
        <v>-39.598999999999997</v>
      </c>
      <c r="K160" s="2" t="s">
        <v>39</v>
      </c>
      <c r="L160" s="8" t="s">
        <v>39</v>
      </c>
      <c r="M160" s="8"/>
      <c r="N160" s="16" t="s">
        <v>39</v>
      </c>
      <c r="O160" s="16"/>
      <c r="P160" s="16"/>
      <c r="Q160" s="16"/>
      <c r="R160" s="16"/>
      <c r="S160" s="16"/>
      <c r="U160" s="9">
        <v>155.69999999999999</v>
      </c>
      <c r="V160" s="5" t="s">
        <v>33</v>
      </c>
      <c r="X160" s="5" t="s">
        <v>32</v>
      </c>
      <c r="Y160" s="10">
        <f>VLOOKUP(Tabela3[[#This Row],[SISTEMA]],'[1]Resultado Geral'!$D$2:$J$171,7,0)</f>
        <v>4.0551547952507786E-4</v>
      </c>
    </row>
    <row r="161" spans="1:25" ht="14.5" customHeight="1">
      <c r="A161" s="2">
        <v>186</v>
      </c>
      <c r="B161" s="2" t="str">
        <f>VLOOKUP(Tabela3[[#This Row],[COORDENAÇÃO]],[1]Mun!$D$1:$F$137,3,FALSE)</f>
        <v>Lote 3</v>
      </c>
      <c r="C161" s="5" t="str">
        <f>VLOOKUP(Tabela3[[#This Row],[COORDENAÇÃO]],[1]Mun!$D$1:$E$137,2,FALSE)</f>
        <v>GPR SERTAO</v>
      </c>
      <c r="D161" s="5" t="s">
        <v>34</v>
      </c>
      <c r="E161" s="5" t="s">
        <v>443</v>
      </c>
      <c r="F161" s="6" t="s">
        <v>444</v>
      </c>
      <c r="G161" s="5"/>
      <c r="H161" s="5" t="s">
        <v>38</v>
      </c>
      <c r="I161" s="7">
        <v>-8.0621170000000006</v>
      </c>
      <c r="J161" s="7">
        <v>-37.354404000000002</v>
      </c>
      <c r="K161" s="2" t="s">
        <v>39</v>
      </c>
      <c r="L161" s="8" t="s">
        <v>39</v>
      </c>
      <c r="M161" s="8"/>
      <c r="N161" s="16" t="s">
        <v>39</v>
      </c>
      <c r="O161" s="16"/>
      <c r="P161" s="16"/>
      <c r="Q161" s="16"/>
      <c r="R161" s="16"/>
      <c r="S161" s="16"/>
      <c r="U161" s="9">
        <v>254</v>
      </c>
      <c r="X161" s="5" t="s">
        <v>44</v>
      </c>
      <c r="Y161" s="10">
        <f>VLOOKUP(Tabela3[[#This Row],[SISTEMA]],'[1]Resultado Geral'!$D$2:$J$171,7,0)</f>
        <v>7.403860093267593E-4</v>
      </c>
    </row>
    <row r="162" spans="1:25" ht="14.5" customHeight="1">
      <c r="A162" s="2">
        <v>28</v>
      </c>
      <c r="B162" s="2" t="str">
        <f>VLOOKUP(Tabela3[[#This Row],[COORDENAÇÃO]],[1]Mun!$D$1:$F$137,3,FALSE)</f>
        <v>Lote 1</v>
      </c>
      <c r="C162" s="5" t="str">
        <f>VLOOKUP(Tabela3[[#This Row],[COORDENAÇÃO]],[1]Mun!$D$1:$E$137,2,FALSE)</f>
        <v>GPM</v>
      </c>
      <c r="D162" s="5" t="s">
        <v>40</v>
      </c>
      <c r="E162" s="5" t="s">
        <v>402</v>
      </c>
      <c r="F162" s="6" t="s">
        <v>403</v>
      </c>
      <c r="G162" s="5"/>
      <c r="H162" s="5" t="s">
        <v>445</v>
      </c>
      <c r="I162" s="7"/>
      <c r="J162" s="7"/>
      <c r="K162" s="2">
        <v>1</v>
      </c>
      <c r="L162" s="8">
        <v>400</v>
      </c>
      <c r="M162" s="8"/>
      <c r="N162" s="11" t="s">
        <v>44</v>
      </c>
      <c r="O162" s="2"/>
      <c r="P162" s="2"/>
      <c r="Q162" s="2" t="s">
        <v>44</v>
      </c>
      <c r="R162" s="2"/>
      <c r="S162" s="2"/>
      <c r="U162" s="9">
        <v>88.6</v>
      </c>
      <c r="V162" s="5" t="s">
        <v>33</v>
      </c>
      <c r="W162" s="5" t="s">
        <v>32</v>
      </c>
      <c r="X162" s="5" t="s">
        <v>44</v>
      </c>
      <c r="Y162" s="10">
        <f>VLOOKUP(Tabela3[[#This Row],[SISTEMA]],'[1]Resultado Geral'!$D$2:$J$171,7,0)</f>
        <v>1.3686343191424612E-2</v>
      </c>
    </row>
    <row r="163" spans="1:25" ht="14.5" customHeight="1">
      <c r="A163" s="2">
        <v>101</v>
      </c>
      <c r="B163" s="2" t="str">
        <f>VLOOKUP(Tabela3[[#This Row],[COORDENAÇÃO]],[1]Mun!$D$1:$F$137,3,FALSE)</f>
        <v>Lote 1</v>
      </c>
      <c r="C163" s="5" t="str">
        <f>VLOOKUP(Tabela3[[#This Row],[COORDENAÇÃO]],[1]Mun!$D$1:$E$137,2,FALSE)</f>
        <v>GPM</v>
      </c>
      <c r="D163" s="5" t="s">
        <v>84</v>
      </c>
      <c r="E163" s="5" t="s">
        <v>446</v>
      </c>
      <c r="F163" s="6" t="s">
        <v>447</v>
      </c>
      <c r="G163" s="5" t="s">
        <v>448</v>
      </c>
      <c r="H163" s="5" t="s">
        <v>449</v>
      </c>
      <c r="I163" s="7">
        <v>-7.4667500000000002</v>
      </c>
      <c r="J163" s="7">
        <v>-34.990069444444444</v>
      </c>
      <c r="K163" s="2">
        <v>1</v>
      </c>
      <c r="L163" s="8">
        <v>300</v>
      </c>
      <c r="M163" s="8"/>
      <c r="N163" s="11" t="s">
        <v>44</v>
      </c>
      <c r="O163" s="2"/>
      <c r="P163" s="2"/>
      <c r="Q163" s="2"/>
      <c r="R163" s="2"/>
      <c r="S163" s="2"/>
      <c r="U163" s="9">
        <v>65.3</v>
      </c>
      <c r="W163" s="5" t="s">
        <v>32</v>
      </c>
      <c r="X163" s="5" t="s">
        <v>32</v>
      </c>
      <c r="Y163" s="10">
        <f>VLOOKUP(Tabela3[[#This Row],[SISTEMA]],'[1]Resultado Geral'!$D$2:$J$171,7,0)</f>
        <v>2.3365836696758683E-3</v>
      </c>
    </row>
    <row r="164" spans="1:25">
      <c r="A164" s="2">
        <v>11</v>
      </c>
      <c r="B164" s="2" t="str">
        <f>VLOOKUP(Tabela3[[#This Row],[COORDENAÇÃO]],[1]Mun!$D$1:$F$137,3,FALSE)</f>
        <v>Lote 1</v>
      </c>
      <c r="C164" s="5" t="str">
        <f>VLOOKUP(Tabela3[[#This Row],[COORDENAÇÃO]],[1]Mun!$D$1:$E$137,2,FALSE)</f>
        <v>GPM</v>
      </c>
      <c r="D164" s="5" t="s">
        <v>422</v>
      </c>
      <c r="E164" s="5" t="s">
        <v>432</v>
      </c>
      <c r="F164" s="6" t="s">
        <v>450</v>
      </c>
      <c r="G164" s="5"/>
      <c r="H164" s="5" t="s">
        <v>451</v>
      </c>
      <c r="I164" s="7">
        <v>-8.2378959999999992</v>
      </c>
      <c r="J164" s="7">
        <v>-35.050533000000001</v>
      </c>
      <c r="K164" s="2">
        <v>1</v>
      </c>
      <c r="L164" s="8" t="s">
        <v>452</v>
      </c>
      <c r="M164" s="8" t="s">
        <v>39</v>
      </c>
      <c r="N164" s="11" t="s">
        <v>44</v>
      </c>
      <c r="O164" s="2"/>
      <c r="P164" s="2"/>
      <c r="Q164" s="2" t="s">
        <v>44</v>
      </c>
      <c r="R164" s="2"/>
      <c r="S164" s="2"/>
      <c r="T164" s="5" t="s">
        <v>453</v>
      </c>
      <c r="U164" s="9">
        <v>34</v>
      </c>
      <c r="V164" s="5" t="s">
        <v>33</v>
      </c>
      <c r="W164" s="5" t="s">
        <v>32</v>
      </c>
      <c r="X164" s="5" t="s">
        <v>44</v>
      </c>
      <c r="Y164" s="10">
        <f>VLOOKUP(Tabela3[[#This Row],[SISTEMA]],'[1]Resultado Geral'!$D$2:$J$171,7,0)</f>
        <v>3.6999999999999998E-2</v>
      </c>
    </row>
    <row r="165" spans="1:25">
      <c r="A165" s="2">
        <v>143</v>
      </c>
      <c r="B165" s="2" t="str">
        <f>VLOOKUP(Tabela3[[#This Row],[COORDENAÇÃO]],[1]Mun!$D$1:$F$137,3,FALSE)</f>
        <v>Lote 1</v>
      </c>
      <c r="C165" s="5" t="str">
        <f>VLOOKUP(Tabela3[[#This Row],[COORDENAÇÃO]],[1]Mun!$D$1:$E$137,2,FALSE)</f>
        <v>GPM</v>
      </c>
      <c r="D165" s="5" t="s">
        <v>422</v>
      </c>
      <c r="E165" s="5" t="s">
        <v>423</v>
      </c>
      <c r="F165" s="6" t="s">
        <v>454</v>
      </c>
      <c r="G165" s="5" t="s">
        <v>455</v>
      </c>
      <c r="H165" s="5" t="s">
        <v>455</v>
      </c>
      <c r="I165" s="7">
        <v>-8.3688888888888897</v>
      </c>
      <c r="J165" s="7">
        <v>-35.094444444444449</v>
      </c>
      <c r="K165" s="2">
        <v>1</v>
      </c>
      <c r="L165" s="8">
        <v>200</v>
      </c>
      <c r="M165" s="8"/>
      <c r="N165" s="11" t="s">
        <v>44</v>
      </c>
      <c r="O165" s="2"/>
      <c r="P165" s="2"/>
      <c r="Q165" s="2"/>
      <c r="R165" s="2"/>
      <c r="S165" s="2"/>
      <c r="U165" s="9">
        <v>50.6</v>
      </c>
      <c r="W165" s="5" t="s">
        <v>32</v>
      </c>
      <c r="X165" s="5" t="s">
        <v>44</v>
      </c>
      <c r="Y165" s="10">
        <f>VLOOKUP(Tabela3[[#This Row],[SISTEMA]],'[1]Resultado Geral'!$D$2:$J$171,7,0)</f>
        <v>1.1485110140064393E-3</v>
      </c>
    </row>
    <row r="166" spans="1:25" ht="14.5" customHeight="1">
      <c r="A166" s="2">
        <v>148</v>
      </c>
      <c r="B166" s="2" t="str">
        <f>VLOOKUP(Tabela3[[#This Row],[COORDENAÇÃO]],[1]Mun!$D$1:$F$137,3,FALSE)</f>
        <v>Lote 1</v>
      </c>
      <c r="C166" s="5" t="str">
        <f>VLOOKUP(Tabela3[[#This Row],[COORDENAÇÃO]],[1]Mun!$D$1:$E$137,2,FALSE)</f>
        <v>GPM</v>
      </c>
      <c r="D166" s="5" t="s">
        <v>325</v>
      </c>
      <c r="E166" s="5" t="s">
        <v>426</v>
      </c>
      <c r="F166" s="6" t="s">
        <v>456</v>
      </c>
      <c r="G166" s="5"/>
      <c r="H166" s="5" t="s">
        <v>457</v>
      </c>
      <c r="I166" s="7">
        <v>-8.1072699999999998</v>
      </c>
      <c r="J166" s="7">
        <v>-35.028619999999997</v>
      </c>
      <c r="K166" s="2">
        <v>1</v>
      </c>
      <c r="L166" s="8">
        <v>250</v>
      </c>
      <c r="M166" s="8"/>
      <c r="N166" s="2" t="s">
        <v>32</v>
      </c>
      <c r="O166" s="2"/>
      <c r="P166" s="2"/>
      <c r="Q166" s="2"/>
      <c r="R166" s="2"/>
      <c r="S166" s="2"/>
      <c r="U166" s="9">
        <v>17.100000000000001</v>
      </c>
      <c r="W166" s="5" t="s">
        <v>32</v>
      </c>
      <c r="X166" s="5" t="s">
        <v>44</v>
      </c>
      <c r="Y166" s="10">
        <f>VLOOKUP(Tabela3[[#This Row],[SISTEMA]],'[1]Resultado Geral'!$D$2:$J$171,7,0)</f>
        <v>1.0522605195820353E-3</v>
      </c>
    </row>
    <row r="167" spans="1:25" ht="14.5" customHeight="1">
      <c r="A167" s="2">
        <v>42</v>
      </c>
      <c r="B167" s="2" t="str">
        <f>VLOOKUP(Tabela3[[#This Row],[COORDENAÇÃO]],[1]Mun!$D$1:$F$137,3,FALSE)</f>
        <v>Lote 1</v>
      </c>
      <c r="C167" s="5" t="str">
        <f>VLOOKUP(Tabela3[[#This Row],[COORDENAÇÃO]],[1]Mun!$D$1:$E$137,2,FALSE)</f>
        <v>GPM</v>
      </c>
      <c r="D167" s="5" t="s">
        <v>422</v>
      </c>
      <c r="E167" s="5" t="s">
        <v>426</v>
      </c>
      <c r="F167" s="6" t="s">
        <v>458</v>
      </c>
      <c r="G167" s="5"/>
      <c r="H167" s="5" t="s">
        <v>459</v>
      </c>
      <c r="I167" s="7">
        <v>-8.1594300000000004</v>
      </c>
      <c r="J167" s="7">
        <v>-34.978960000000001</v>
      </c>
      <c r="K167" s="2">
        <v>1</v>
      </c>
      <c r="L167" s="8">
        <v>300</v>
      </c>
      <c r="M167" s="8"/>
      <c r="N167" s="11" t="s">
        <v>44</v>
      </c>
      <c r="O167" s="2"/>
      <c r="P167" s="2"/>
      <c r="Q167" s="2" t="s">
        <v>99</v>
      </c>
      <c r="R167" s="2"/>
      <c r="S167" s="2"/>
      <c r="U167" s="9">
        <v>17.100000000000001</v>
      </c>
      <c r="W167" s="5" t="s">
        <v>32</v>
      </c>
      <c r="X167" s="5" t="s">
        <v>44</v>
      </c>
      <c r="Y167" s="10">
        <f>VLOOKUP(Tabela3[[#This Row],[SISTEMA]],'[1]Resultado Geral'!$D$2:$J$171,7,0)</f>
        <v>2.2309772218345385E-3</v>
      </c>
    </row>
    <row r="168" spans="1:25" ht="14.5" customHeight="1">
      <c r="A168" s="2">
        <v>43</v>
      </c>
      <c r="B168" s="2" t="str">
        <f>VLOOKUP(Tabela3[[#This Row],[COORDENAÇÃO]],[1]Mun!$D$1:$F$137,3,FALSE)</f>
        <v>Lote 1</v>
      </c>
      <c r="C168" s="5" t="str">
        <f>VLOOKUP(Tabela3[[#This Row],[COORDENAÇÃO]],[1]Mun!$D$1:$E$137,2,FALSE)</f>
        <v>GPM</v>
      </c>
      <c r="D168" s="5" t="s">
        <v>422</v>
      </c>
      <c r="E168" s="5" t="s">
        <v>426</v>
      </c>
      <c r="F168" s="6" t="s">
        <v>458</v>
      </c>
      <c r="G168" s="5"/>
      <c r="H168" s="5" t="s">
        <v>460</v>
      </c>
      <c r="I168" s="7">
        <v>-8.1594300000000004</v>
      </c>
      <c r="J168" s="7">
        <v>-34.978960000000001</v>
      </c>
      <c r="K168" s="2">
        <v>1</v>
      </c>
      <c r="L168" s="8">
        <v>300</v>
      </c>
      <c r="M168" s="8"/>
      <c r="N168" s="11" t="s">
        <v>44</v>
      </c>
      <c r="O168" s="2"/>
      <c r="P168" s="2"/>
      <c r="Q168" s="2" t="s">
        <v>99</v>
      </c>
      <c r="R168" s="2"/>
      <c r="S168" s="2"/>
      <c r="U168" s="9">
        <v>17.100000000000001</v>
      </c>
      <c r="W168" s="5" t="s">
        <v>32</v>
      </c>
      <c r="X168" s="5" t="s">
        <v>44</v>
      </c>
      <c r="Y168" s="10">
        <f>VLOOKUP(Tabela3[[#This Row],[SISTEMA]],'[1]Resultado Geral'!$D$2:$J$171,7,0)</f>
        <v>2.2309772218345385E-3</v>
      </c>
    </row>
    <row r="169" spans="1:25" ht="14.5" customHeight="1">
      <c r="A169" s="2">
        <v>168</v>
      </c>
      <c r="B169" s="2" t="str">
        <f>VLOOKUP(Tabela3[[#This Row],[COORDENAÇÃO]],[1]Mun!$D$1:$F$137,3,FALSE)</f>
        <v>Lote 1</v>
      </c>
      <c r="C169" s="5" t="str">
        <f>VLOOKUP(Tabela3[[#This Row],[COORDENAÇÃO]],[1]Mun!$D$1:$E$137,2,FALSE)</f>
        <v>GPM</v>
      </c>
      <c r="D169" s="5" t="s">
        <v>40</v>
      </c>
      <c r="E169" s="5" t="s">
        <v>41</v>
      </c>
      <c r="F169" s="6" t="s">
        <v>413</v>
      </c>
      <c r="G169" s="5"/>
      <c r="H169" s="5" t="s">
        <v>461</v>
      </c>
      <c r="I169" s="7"/>
      <c r="J169" s="7"/>
      <c r="K169" s="2">
        <v>1</v>
      </c>
      <c r="L169" s="28">
        <v>150</v>
      </c>
      <c r="M169" s="28"/>
      <c r="N169" s="14" t="s">
        <v>44</v>
      </c>
      <c r="O169" s="16"/>
      <c r="P169" s="16"/>
      <c r="Q169" s="16"/>
      <c r="R169" s="16"/>
      <c r="S169" s="16"/>
      <c r="U169" s="9">
        <v>150.4</v>
      </c>
      <c r="X169" s="5" t="s">
        <v>44</v>
      </c>
      <c r="Y169" s="10">
        <f>VLOOKUP(Tabela3[[#This Row],[SISTEMA]],'[1]Resultado Geral'!$D$2:$J$171,7,0)</f>
        <v>9.0350677995830366E-4</v>
      </c>
    </row>
    <row r="170" spans="1:25" ht="14.5" customHeight="1">
      <c r="A170" s="2">
        <v>64</v>
      </c>
      <c r="B170" s="2" t="str">
        <f>VLOOKUP(Tabela3[[#This Row],[COORDENAÇÃO]],[1]Mun!$D$1:$F$137,3,FALSE)</f>
        <v>Lote 1</v>
      </c>
      <c r="C170" s="5" t="str">
        <f>VLOOKUP(Tabela3[[#This Row],[COORDENAÇÃO]],[1]Mun!$D$1:$E$137,2,FALSE)</f>
        <v>GPM</v>
      </c>
      <c r="D170" s="5" t="s">
        <v>40</v>
      </c>
      <c r="E170" s="5" t="s">
        <v>398</v>
      </c>
      <c r="F170" s="6" t="s">
        <v>462</v>
      </c>
      <c r="G170" s="5"/>
      <c r="H170" s="5" t="s">
        <v>463</v>
      </c>
      <c r="I170" s="7"/>
      <c r="J170" s="7"/>
      <c r="K170" s="2">
        <v>1</v>
      </c>
      <c r="L170" s="8">
        <v>400</v>
      </c>
      <c r="M170" s="8"/>
      <c r="N170" s="11" t="s">
        <v>44</v>
      </c>
      <c r="O170" s="2"/>
      <c r="P170" s="2"/>
      <c r="Q170" s="2" t="s">
        <v>99</v>
      </c>
      <c r="R170" s="2"/>
      <c r="S170" s="2"/>
      <c r="U170" s="9">
        <v>153.80000000000001</v>
      </c>
      <c r="V170" s="5" t="s">
        <v>33</v>
      </c>
      <c r="X170" s="5" t="s">
        <v>44</v>
      </c>
      <c r="Y170" s="10">
        <f>VLOOKUP(Tabela3[[#This Row],[SISTEMA]],'[1]Resultado Geral'!$D$2:$J$171,7,0)</f>
        <v>4.6660120129210954E-3</v>
      </c>
    </row>
    <row r="171" spans="1:25" ht="14.5" customHeight="1">
      <c r="A171" s="2">
        <v>133</v>
      </c>
      <c r="B171" s="2" t="str">
        <f>VLOOKUP(Tabela3[[#This Row],[COORDENAÇÃO]],[1]Mun!$D$1:$F$137,3,FALSE)</f>
        <v>Lote 1</v>
      </c>
      <c r="C171" s="5" t="str">
        <f>VLOOKUP(Tabela3[[#This Row],[COORDENAÇÃO]],[1]Mun!$D$1:$E$137,2,FALSE)</f>
        <v>GPM</v>
      </c>
      <c r="D171" s="5" t="s">
        <v>40</v>
      </c>
      <c r="E171" s="5" t="s">
        <v>464</v>
      </c>
      <c r="F171" s="6" t="s">
        <v>465</v>
      </c>
      <c r="G171" s="5"/>
      <c r="H171" s="5" t="s">
        <v>466</v>
      </c>
      <c r="I171" s="7"/>
      <c r="J171" s="7"/>
      <c r="K171" s="2">
        <v>1</v>
      </c>
      <c r="L171" s="8">
        <v>150</v>
      </c>
      <c r="M171" s="8"/>
      <c r="N171" s="11" t="s">
        <v>44</v>
      </c>
      <c r="O171" s="2"/>
      <c r="P171" s="2"/>
      <c r="Q171" s="2"/>
      <c r="R171" s="2"/>
      <c r="S171" s="2"/>
      <c r="U171" s="9">
        <v>95.7</v>
      </c>
      <c r="X171" s="5" t="s">
        <v>44</v>
      </c>
      <c r="Y171" s="10">
        <f>VLOOKUP(Tabela3[[#This Row],[SISTEMA]],'[1]Resultado Geral'!$D$2:$J$171,7,0)</f>
        <v>1.2164837961901984E-3</v>
      </c>
    </row>
    <row r="172" spans="1:25" ht="14.5" customHeight="1">
      <c r="A172" s="2">
        <v>52</v>
      </c>
      <c r="B172" s="2" t="str">
        <f>VLOOKUP(Tabela3[[#This Row],[COORDENAÇÃO]],[1]Mun!$D$1:$F$137,3,FALSE)</f>
        <v>Lote 1</v>
      </c>
      <c r="C172" s="5" t="str">
        <f>VLOOKUP(Tabela3[[#This Row],[COORDENAÇÃO]],[1]Mun!$D$1:$E$137,2,FALSE)</f>
        <v>GPM</v>
      </c>
      <c r="D172" s="5" t="s">
        <v>95</v>
      </c>
      <c r="E172" s="5" t="s">
        <v>364</v>
      </c>
      <c r="F172" s="6" t="s">
        <v>467</v>
      </c>
      <c r="G172" s="5" t="s">
        <v>468</v>
      </c>
      <c r="H172" s="5" t="s">
        <v>469</v>
      </c>
      <c r="I172" s="7">
        <v>-7.7491199999999996</v>
      </c>
      <c r="J172" s="7">
        <v>-35.522030000000001</v>
      </c>
      <c r="K172" s="2">
        <v>1</v>
      </c>
      <c r="L172" s="27">
        <v>500</v>
      </c>
      <c r="M172" s="27"/>
      <c r="N172" s="11" t="s">
        <v>44</v>
      </c>
      <c r="O172" s="2"/>
      <c r="P172" s="2"/>
      <c r="Q172" s="2" t="s">
        <v>44</v>
      </c>
      <c r="R172" s="2"/>
      <c r="S172" s="2"/>
      <c r="U172" s="9">
        <v>100.3</v>
      </c>
      <c r="V172" s="5" t="s">
        <v>33</v>
      </c>
      <c r="X172" s="5" t="s">
        <v>44</v>
      </c>
      <c r="Y172" s="10">
        <f>VLOOKUP(Tabela3[[#This Row],[SISTEMA]],'[1]Resultado Geral'!$D$2:$J$171,7,0)</f>
        <v>6.3389395476699528E-3</v>
      </c>
    </row>
    <row r="173" spans="1:25" ht="14.5" customHeight="1">
      <c r="A173" s="2">
        <v>185</v>
      </c>
      <c r="B173" s="2" t="str">
        <f>VLOOKUP(Tabela3[[#This Row],[COORDENAÇÃO]],[1]Mun!$D$1:$F$137,3,FALSE)</f>
        <v>Lote 1</v>
      </c>
      <c r="C173" s="5" t="str">
        <f>VLOOKUP(Tabela3[[#This Row],[COORDENAÇÃO]],[1]Mun!$D$1:$E$137,2,FALSE)</f>
        <v>GPM</v>
      </c>
      <c r="D173" s="5" t="s">
        <v>40</v>
      </c>
      <c r="E173" s="5" t="s">
        <v>405</v>
      </c>
      <c r="F173" s="6" t="s">
        <v>470</v>
      </c>
      <c r="G173" s="5"/>
      <c r="H173" s="5" t="s">
        <v>471</v>
      </c>
      <c r="I173" s="7"/>
      <c r="J173" s="7"/>
      <c r="K173" s="2">
        <v>1</v>
      </c>
      <c r="L173" s="8">
        <v>150</v>
      </c>
      <c r="M173" s="8"/>
      <c r="N173" s="14" t="s">
        <v>44</v>
      </c>
      <c r="O173" s="16"/>
      <c r="P173" s="16"/>
      <c r="Q173" s="16"/>
      <c r="R173" s="16"/>
      <c r="S173" s="16"/>
      <c r="U173" s="9">
        <v>122.7</v>
      </c>
      <c r="W173" s="5" t="s">
        <v>32</v>
      </c>
      <c r="X173" s="5" t="s">
        <v>44</v>
      </c>
      <c r="Y173" s="10">
        <f>VLOOKUP(Tabela3[[#This Row],[SISTEMA]],'[1]Resultado Geral'!$D$2:$J$171,7,0)</f>
        <v>5.6194917555411937E-4</v>
      </c>
    </row>
    <row r="174" spans="1:25" ht="14.5" customHeight="1">
      <c r="A174" s="2">
        <v>139</v>
      </c>
      <c r="B174" s="2" t="str">
        <f>VLOOKUP(Tabela3[[#This Row],[COORDENAÇÃO]],[1]Mun!$D$1:$F$137,3,FALSE)</f>
        <v>Lote 2</v>
      </c>
      <c r="C174" s="5" t="str">
        <f>VLOOKUP(Tabela3[[#This Row],[COORDENAÇÃO]],[1]Mun!$D$1:$E$137,2,FALSE)</f>
        <v>GPR Agreste</v>
      </c>
      <c r="D174" s="5" t="s">
        <v>210</v>
      </c>
      <c r="E174" s="5" t="s">
        <v>472</v>
      </c>
      <c r="F174" s="6" t="s">
        <v>473</v>
      </c>
      <c r="G174" s="5"/>
      <c r="H174" s="5" t="s">
        <v>250</v>
      </c>
      <c r="I174" s="26">
        <v>-8.6663530000000009</v>
      </c>
      <c r="J174" s="26">
        <v>-35.831580000000002</v>
      </c>
      <c r="K174" s="2" t="s">
        <v>39</v>
      </c>
      <c r="L174" s="8" t="s">
        <v>39</v>
      </c>
      <c r="M174" s="8"/>
      <c r="N174" s="2" t="s">
        <v>39</v>
      </c>
      <c r="O174" s="2"/>
      <c r="P174" s="2"/>
      <c r="Q174" s="2"/>
      <c r="R174" s="2"/>
      <c r="S174" s="2"/>
      <c r="U174" s="9">
        <v>53.3</v>
      </c>
      <c r="X174" s="5" t="s">
        <v>44</v>
      </c>
      <c r="Y174" s="10">
        <f>VLOOKUP(Tabela3[[#This Row],[SISTEMA]],'[1]Resultado Geral'!$D$2:$J$171,7,0)</f>
        <v>9.3506914565826677E-4</v>
      </c>
    </row>
    <row r="175" spans="1:25">
      <c r="A175" s="2">
        <v>29</v>
      </c>
      <c r="B175" s="2" t="str">
        <f>VLOOKUP(Tabela3[[#This Row],[COORDENAÇÃO]],[1]Mun!$D$1:$F$137,3,FALSE)</f>
        <v>Lote 1</v>
      </c>
      <c r="C175" s="5" t="str">
        <f>VLOOKUP(Tabela3[[#This Row],[COORDENAÇÃO]],[1]Mun!$D$1:$E$137,2,FALSE)</f>
        <v>GPM</v>
      </c>
      <c r="D175" s="5" t="s">
        <v>40</v>
      </c>
      <c r="E175" s="5" t="s">
        <v>402</v>
      </c>
      <c r="F175" s="6" t="s">
        <v>403</v>
      </c>
      <c r="G175" s="5"/>
      <c r="H175" s="5" t="s">
        <v>474</v>
      </c>
      <c r="I175" s="7">
        <v>-8.0378830000000008</v>
      </c>
      <c r="J175" s="7">
        <v>-35.161946</v>
      </c>
      <c r="K175" s="2">
        <v>1</v>
      </c>
      <c r="L175" s="8">
        <v>600</v>
      </c>
      <c r="M175" s="8"/>
      <c r="N175" s="11" t="s">
        <v>44</v>
      </c>
      <c r="O175" s="2"/>
      <c r="P175" s="2"/>
      <c r="Q175" s="2" t="s">
        <v>44</v>
      </c>
      <c r="R175" s="2"/>
      <c r="S175" s="2"/>
      <c r="U175" s="9">
        <v>88.6</v>
      </c>
      <c r="V175" s="5" t="s">
        <v>33</v>
      </c>
      <c r="W175" s="5" t="s">
        <v>32</v>
      </c>
      <c r="X175" s="5" t="s">
        <v>32</v>
      </c>
      <c r="Y175" s="10">
        <f>VLOOKUP(Tabela3[[#This Row],[SISTEMA]],'[1]Resultado Geral'!$D$2:$J$171,7,0)</f>
        <v>1.3686343191424612E-2</v>
      </c>
    </row>
    <row r="176" spans="1:25" ht="14.5" customHeight="1">
      <c r="A176" s="2">
        <v>35</v>
      </c>
      <c r="B176" s="2" t="str">
        <f>VLOOKUP(Tabela3[[#This Row],[COORDENAÇÃO]],[1]Mun!$D$1:$F$137,3,FALSE)</f>
        <v>Lote 1</v>
      </c>
      <c r="C176" s="5" t="str">
        <f>VLOOKUP(Tabela3[[#This Row],[COORDENAÇÃO]],[1]Mun!$D$1:$E$137,2,FALSE)</f>
        <v>GPM</v>
      </c>
      <c r="D176" s="5" t="s">
        <v>95</v>
      </c>
      <c r="E176" s="5" t="s">
        <v>126</v>
      </c>
      <c r="F176" s="6" t="s">
        <v>475</v>
      </c>
      <c r="G176" s="5"/>
      <c r="H176" s="5" t="s">
        <v>476</v>
      </c>
      <c r="I176" s="7"/>
      <c r="J176" s="7"/>
      <c r="K176" s="2">
        <v>1</v>
      </c>
      <c r="L176" s="8">
        <v>600</v>
      </c>
      <c r="M176" s="8"/>
      <c r="N176" s="11" t="s">
        <v>44</v>
      </c>
      <c r="O176" s="2"/>
      <c r="P176" s="2"/>
      <c r="Q176" s="2" t="s">
        <v>99</v>
      </c>
      <c r="R176" s="2"/>
      <c r="S176" s="2"/>
      <c r="U176" s="9">
        <v>137.19999999999999</v>
      </c>
      <c r="V176" s="5" t="s">
        <v>33</v>
      </c>
      <c r="X176" s="5" t="s">
        <v>44</v>
      </c>
      <c r="Y176" s="10">
        <f>VLOOKUP(Tabela3[[#This Row],[SISTEMA]],'[1]Resultado Geral'!$D$2:$J$171,7,0)</f>
        <v>6.9802722856598725E-3</v>
      </c>
    </row>
    <row r="177" spans="1:27" ht="14.5" customHeight="1">
      <c r="A177" s="2">
        <v>144</v>
      </c>
      <c r="B177" s="2" t="str">
        <f>VLOOKUP(Tabela3[[#This Row],[COORDENAÇÃO]],[1]Mun!$D$1:$F$137,3,FALSE)</f>
        <v>Lote 1</v>
      </c>
      <c r="C177" s="5" t="str">
        <f>VLOOKUP(Tabela3[[#This Row],[COORDENAÇÃO]],[1]Mun!$D$1:$E$137,2,FALSE)</f>
        <v>GPM</v>
      </c>
      <c r="D177" s="5" t="s">
        <v>40</v>
      </c>
      <c r="E177" s="5" t="s">
        <v>398</v>
      </c>
      <c r="F177" s="6" t="s">
        <v>399</v>
      </c>
      <c r="G177" s="5"/>
      <c r="H177" s="5" t="s">
        <v>477</v>
      </c>
      <c r="I177" s="7"/>
      <c r="J177" s="7"/>
      <c r="K177" s="2">
        <v>1</v>
      </c>
      <c r="L177" s="8">
        <v>150</v>
      </c>
      <c r="M177" s="8"/>
      <c r="N177" s="11" t="s">
        <v>44</v>
      </c>
      <c r="O177" s="2"/>
      <c r="P177" s="2"/>
      <c r="Q177" s="2"/>
      <c r="R177" s="2"/>
      <c r="S177" s="2"/>
      <c r="U177" s="9">
        <v>153.80000000000001</v>
      </c>
      <c r="X177" s="5" t="s">
        <v>44</v>
      </c>
      <c r="Y177" s="10">
        <f>VLOOKUP(Tabela3[[#This Row],[SISTEMA]],'[1]Resultado Geral'!$D$2:$J$171,7,0)</f>
        <v>1.1415996796655104E-3</v>
      </c>
    </row>
    <row r="178" spans="1:27" ht="14.5" customHeight="1">
      <c r="A178" s="2">
        <v>247</v>
      </c>
      <c r="B178" s="2" t="str">
        <f>VLOOKUP(Tabela3[[#This Row],[COORDENAÇÃO]],[1]Mun!$D$1:$F$137,3,FALSE)</f>
        <v>Lote 1</v>
      </c>
      <c r="C178" s="5" t="str">
        <f>VLOOKUP(Tabela3[[#This Row],[COORDENAÇÃO]],[1]Mun!$D$1:$E$137,2,FALSE)</f>
        <v>GPM</v>
      </c>
      <c r="D178" s="5" t="s">
        <v>40</v>
      </c>
      <c r="E178" s="5" t="s">
        <v>478</v>
      </c>
      <c r="F178" s="6" t="s">
        <v>479</v>
      </c>
      <c r="G178" s="5"/>
      <c r="H178" s="5" t="s">
        <v>480</v>
      </c>
      <c r="I178" s="7">
        <v>-8.5931790595876407</v>
      </c>
      <c r="J178" s="7">
        <v>-35.665256634506399</v>
      </c>
      <c r="K178" s="2">
        <v>1</v>
      </c>
      <c r="L178" s="8">
        <v>700</v>
      </c>
      <c r="M178" s="8"/>
      <c r="N178" s="14" t="s">
        <v>44</v>
      </c>
      <c r="O178" s="16"/>
      <c r="P178" s="16"/>
      <c r="Q178" s="16"/>
      <c r="R178" s="16"/>
      <c r="S178" s="16"/>
      <c r="U178" s="9">
        <v>84.9</v>
      </c>
      <c r="V178" s="5" t="s">
        <v>33</v>
      </c>
      <c r="X178" s="5" t="s">
        <v>44</v>
      </c>
      <c r="Y178" s="10" t="e">
        <f>VLOOKUP(Tabela3[[#This Row],[SISTEMA]],'[1]Resultado Geral'!$D$2:$J$171,7,0)</f>
        <v>#N/A</v>
      </c>
    </row>
    <row r="179" spans="1:27" ht="14.5" customHeight="1">
      <c r="A179" s="2">
        <v>213</v>
      </c>
      <c r="B179" s="2" t="str">
        <f>VLOOKUP(Tabela3[[#This Row],[COORDENAÇÃO]],[1]Mun!$D$1:$F$137,3,FALSE)</f>
        <v>Lote 1</v>
      </c>
      <c r="C179" s="5" t="str">
        <f>VLOOKUP(Tabela3[[#This Row],[COORDENAÇÃO]],[1]Mun!$D$1:$E$137,2,FALSE)</f>
        <v>GPM</v>
      </c>
      <c r="D179" s="5" t="s">
        <v>325</v>
      </c>
      <c r="E179" s="5" t="s">
        <v>481</v>
      </c>
      <c r="F179" s="6" t="s">
        <v>482</v>
      </c>
      <c r="G179" s="5"/>
      <c r="H179" s="5" t="s">
        <v>483</v>
      </c>
      <c r="I179" s="7">
        <v>-8.0235699999999994</v>
      </c>
      <c r="J179" s="7">
        <v>-35.080280000000002</v>
      </c>
      <c r="K179" s="2">
        <v>1</v>
      </c>
      <c r="L179" s="8">
        <v>150</v>
      </c>
      <c r="M179" s="8"/>
      <c r="N179" s="16" t="s">
        <v>32</v>
      </c>
      <c r="O179" s="16" t="s">
        <v>132</v>
      </c>
      <c r="P179" s="16"/>
      <c r="Q179" s="16"/>
      <c r="R179" s="16"/>
      <c r="S179" s="16"/>
      <c r="U179" s="9">
        <v>22.7</v>
      </c>
      <c r="X179" s="5" t="s">
        <v>44</v>
      </c>
      <c r="Y179" s="10">
        <f>VLOOKUP(Tabela3[[#This Row],[SISTEMA]],'[1]Resultado Geral'!$D$2:$J$171,7,0)</f>
        <v>2.6402481123424739E-4</v>
      </c>
    </row>
    <row r="180" spans="1:27" ht="14.5" customHeight="1">
      <c r="A180" s="2">
        <v>174</v>
      </c>
      <c r="B180" s="2" t="str">
        <f>VLOOKUP(Tabela3[[#This Row],[COORDENAÇÃO]],[1]Mun!$D$1:$F$137,3,FALSE)</f>
        <v>Lote 1</v>
      </c>
      <c r="C180" s="5" t="str">
        <f>VLOOKUP(Tabela3[[#This Row],[COORDENAÇÃO]],[1]Mun!$D$1:$E$137,2,FALSE)</f>
        <v>GPM</v>
      </c>
      <c r="D180" s="5" t="s">
        <v>40</v>
      </c>
      <c r="E180" s="5" t="s">
        <v>484</v>
      </c>
      <c r="F180" s="6" t="s">
        <v>485</v>
      </c>
      <c r="G180" s="5"/>
      <c r="H180" s="5" t="s">
        <v>486</v>
      </c>
      <c r="I180" s="7"/>
      <c r="J180" s="7"/>
      <c r="K180" s="2">
        <v>1</v>
      </c>
      <c r="L180" s="8">
        <v>150</v>
      </c>
      <c r="M180" s="8"/>
      <c r="N180" s="14" t="s">
        <v>44</v>
      </c>
      <c r="O180" s="16"/>
      <c r="P180" s="16"/>
      <c r="Q180" s="16"/>
      <c r="R180" s="16"/>
      <c r="S180" s="16"/>
      <c r="U180" s="9">
        <v>107.5</v>
      </c>
      <c r="X180" s="5" t="s">
        <v>44</v>
      </c>
      <c r="Y180" s="10">
        <f>VLOOKUP(Tabela3[[#This Row],[SISTEMA]],'[1]Resultado Geral'!$D$2:$J$171,7,0)</f>
        <v>8.1014222021246938E-4</v>
      </c>
    </row>
    <row r="181" spans="1:27" ht="14.5" customHeight="1">
      <c r="A181" s="2">
        <v>173</v>
      </c>
      <c r="B181" s="2" t="str">
        <f>VLOOKUP(Tabela3[[#This Row],[COORDENAÇÃO]],[1]Mun!$D$1:$F$137,3,FALSE)</f>
        <v>Lote 1</v>
      </c>
      <c r="C181" s="5" t="str">
        <f>VLOOKUP(Tabela3[[#This Row],[COORDENAÇÃO]],[1]Mun!$D$1:$E$137,2,FALSE)</f>
        <v>GPM</v>
      </c>
      <c r="D181" s="5" t="s">
        <v>40</v>
      </c>
      <c r="E181" s="5" t="s">
        <v>484</v>
      </c>
      <c r="F181" s="6" t="s">
        <v>485</v>
      </c>
      <c r="G181" s="5"/>
      <c r="H181" s="5" t="s">
        <v>487</v>
      </c>
      <c r="I181" s="7"/>
      <c r="J181" s="7"/>
      <c r="K181" s="2">
        <v>1</v>
      </c>
      <c r="L181" s="8">
        <v>150</v>
      </c>
      <c r="M181" s="8"/>
      <c r="N181" s="14" t="s">
        <v>44</v>
      </c>
      <c r="O181" s="16"/>
      <c r="P181" s="16"/>
      <c r="Q181" s="16"/>
      <c r="R181" s="16"/>
      <c r="S181" s="16"/>
      <c r="U181" s="9">
        <v>107.5</v>
      </c>
      <c r="X181" s="5" t="s">
        <v>44</v>
      </c>
      <c r="Y181" s="10">
        <f>VLOOKUP(Tabela3[[#This Row],[SISTEMA]],'[1]Resultado Geral'!$D$2:$J$171,7,0)</f>
        <v>8.1014222021246938E-4</v>
      </c>
    </row>
    <row r="182" spans="1:27" ht="14.5" customHeight="1">
      <c r="A182" s="2">
        <v>66</v>
      </c>
      <c r="B182" s="2" t="str">
        <f>VLOOKUP(Tabela3[[#This Row],[COORDENAÇÃO]],[1]Mun!$D$1:$F$137,3,FALSE)</f>
        <v>Lote 1</v>
      </c>
      <c r="C182" s="5" t="str">
        <f>VLOOKUP(Tabela3[[#This Row],[COORDENAÇÃO]],[1]Mun!$D$1:$E$137,2,FALSE)</f>
        <v>GPM</v>
      </c>
      <c r="D182" s="5" t="s">
        <v>325</v>
      </c>
      <c r="E182" s="5" t="s">
        <v>326</v>
      </c>
      <c r="F182" s="6" t="s">
        <v>488</v>
      </c>
      <c r="G182" s="5"/>
      <c r="H182" s="5" t="s">
        <v>489</v>
      </c>
      <c r="I182" s="7">
        <v>-8.1160200000000007</v>
      </c>
      <c r="J182" s="7">
        <v>-35.116590000000002</v>
      </c>
      <c r="K182" s="2">
        <v>1</v>
      </c>
      <c r="L182" s="8">
        <v>250</v>
      </c>
      <c r="M182" s="8"/>
      <c r="N182" s="2" t="s">
        <v>32</v>
      </c>
      <c r="O182" s="2" t="s">
        <v>132</v>
      </c>
      <c r="P182" s="2"/>
      <c r="Q182" s="2"/>
      <c r="R182" s="2"/>
      <c r="S182" s="2"/>
      <c r="U182" s="9">
        <v>25.8</v>
      </c>
      <c r="V182" s="5" t="s">
        <v>33</v>
      </c>
      <c r="X182" s="5" t="s">
        <v>44</v>
      </c>
      <c r="Y182" s="10">
        <f>VLOOKUP(Tabela3[[#This Row],[SISTEMA]],'[1]Resultado Geral'!$D$2:$J$171,7,0)</f>
        <v>3.2178140344858576E-3</v>
      </c>
    </row>
    <row r="183" spans="1:27" ht="14.5" customHeight="1">
      <c r="A183" s="2">
        <v>65</v>
      </c>
      <c r="B183" s="2" t="str">
        <f>VLOOKUP(Tabela3[[#This Row],[COORDENAÇÃO]],[1]Mun!$D$1:$F$137,3,FALSE)</f>
        <v>Lote 1</v>
      </c>
      <c r="C183" s="5" t="str">
        <f>VLOOKUP(Tabela3[[#This Row],[COORDENAÇÃO]],[1]Mun!$D$1:$E$137,2,FALSE)</f>
        <v>GPM</v>
      </c>
      <c r="D183" s="5" t="s">
        <v>325</v>
      </c>
      <c r="E183" s="5" t="s">
        <v>326</v>
      </c>
      <c r="F183" s="6" t="s">
        <v>488</v>
      </c>
      <c r="G183" s="5"/>
      <c r="H183" s="5" t="s">
        <v>490</v>
      </c>
      <c r="I183" s="7">
        <v>-8.1160200000000007</v>
      </c>
      <c r="J183" s="7">
        <v>-35.116590000000002</v>
      </c>
      <c r="K183" s="2">
        <v>1</v>
      </c>
      <c r="L183" s="8">
        <v>300</v>
      </c>
      <c r="M183" s="8"/>
      <c r="N183" s="2" t="s">
        <v>32</v>
      </c>
      <c r="O183" s="2" t="s">
        <v>132</v>
      </c>
      <c r="P183" s="2"/>
      <c r="Q183" s="2"/>
      <c r="R183" s="2"/>
      <c r="S183" s="2"/>
      <c r="U183" s="9">
        <v>25.8</v>
      </c>
      <c r="V183" s="5" t="s">
        <v>33</v>
      </c>
      <c r="X183" s="5" t="s">
        <v>44</v>
      </c>
      <c r="Y183" s="10">
        <f>VLOOKUP(Tabela3[[#This Row],[SISTEMA]],'[1]Resultado Geral'!$D$2:$J$171,7,0)</f>
        <v>3.2178140344858576E-3</v>
      </c>
    </row>
    <row r="184" spans="1:27" ht="14.5" customHeight="1">
      <c r="A184" s="2">
        <v>188</v>
      </c>
      <c r="B184" s="2" t="str">
        <f>VLOOKUP(Tabela3[[#This Row],[COORDENAÇÃO]],[1]Mun!$D$1:$F$137,3,FALSE)</f>
        <v>Lote 1</v>
      </c>
      <c r="C184" s="5" t="str">
        <f>VLOOKUP(Tabela3[[#This Row],[COORDENAÇÃO]],[1]Mun!$D$1:$E$137,2,FALSE)</f>
        <v>GPM</v>
      </c>
      <c r="D184" s="5" t="s">
        <v>325</v>
      </c>
      <c r="E184" s="5" t="s">
        <v>426</v>
      </c>
      <c r="F184" s="6" t="s">
        <v>491</v>
      </c>
      <c r="G184" s="5"/>
      <c r="H184" s="5" t="s">
        <v>492</v>
      </c>
      <c r="I184" s="7">
        <v>-8.1664200000000005</v>
      </c>
      <c r="J184" s="7">
        <v>-35.007150000000003</v>
      </c>
      <c r="K184" s="2">
        <v>1</v>
      </c>
      <c r="L184" s="8">
        <v>200</v>
      </c>
      <c r="M184" s="8"/>
      <c r="N184" s="14" t="s">
        <v>44</v>
      </c>
      <c r="O184" s="16"/>
      <c r="P184" s="16"/>
      <c r="Q184" s="16"/>
      <c r="R184" s="16"/>
      <c r="S184" s="16"/>
      <c r="U184" s="9">
        <v>17.100000000000001</v>
      </c>
      <c r="W184" s="5" t="s">
        <v>32</v>
      </c>
      <c r="X184" s="5" t="s">
        <v>44</v>
      </c>
      <c r="Y184" s="10">
        <f>VLOOKUP(Tabela3[[#This Row],[SISTEMA]],'[1]Resultado Geral'!$D$2:$J$171,7,0)</f>
        <v>8.1832879690675131E-4</v>
      </c>
    </row>
    <row r="185" spans="1:27" ht="14.5" customHeight="1">
      <c r="A185" s="2">
        <v>1</v>
      </c>
      <c r="B185" s="2" t="str">
        <f>VLOOKUP(Tabela3[[#This Row],[COORDENAÇÃO]],[1]Mun!$D$1:$F$137,3,FALSE)</f>
        <v>Lote 1</v>
      </c>
      <c r="C185" s="5" t="str">
        <f>VLOOKUP(Tabela3[[#This Row],[COORDENAÇÃO]],[1]Mun!$D$1:$E$137,2,FALSE)</f>
        <v>GPM</v>
      </c>
      <c r="D185" s="5" t="s">
        <v>422</v>
      </c>
      <c r="E185" s="5" t="s">
        <v>432</v>
      </c>
      <c r="F185" s="6" t="s">
        <v>493</v>
      </c>
      <c r="G185" s="5" t="s">
        <v>494</v>
      </c>
      <c r="H185" s="5" t="s">
        <v>495</v>
      </c>
      <c r="I185" s="7">
        <v>-8.2880900000000004</v>
      </c>
      <c r="J185" s="7">
        <v>-35.069792</v>
      </c>
      <c r="K185" s="2">
        <v>1</v>
      </c>
      <c r="L185" s="8">
        <v>1700</v>
      </c>
      <c r="M185" s="8"/>
      <c r="N185" s="2" t="s">
        <v>32</v>
      </c>
      <c r="O185" s="2" t="s">
        <v>439</v>
      </c>
      <c r="P185" s="2"/>
      <c r="Q185" s="2" t="s">
        <v>44</v>
      </c>
      <c r="R185" s="2"/>
      <c r="S185" s="2"/>
      <c r="U185" s="9">
        <v>34</v>
      </c>
      <c r="V185" s="5" t="s">
        <v>33</v>
      </c>
      <c r="W185" s="5" t="s">
        <v>32</v>
      </c>
      <c r="X185" s="5" t="s">
        <v>44</v>
      </c>
      <c r="Y185" s="10">
        <f>VLOOKUP(Tabela3[[#This Row],[SISTEMA]],'[1]Resultado Geral'!$D$2:$J$171,7,0)</f>
        <v>0.19422872612137293</v>
      </c>
    </row>
    <row r="186" spans="1:27" ht="14.5" customHeight="1">
      <c r="A186" s="2">
        <v>250</v>
      </c>
      <c r="B186" s="2" t="str">
        <f>VLOOKUP(Tabela3[[#This Row],[COORDENAÇÃO]],[1]Mun!$D$1:$F$137,3,FALSE)</f>
        <v>Lote 1</v>
      </c>
      <c r="C186" s="5" t="str">
        <f>VLOOKUP(Tabela3[[#This Row],[COORDENAÇÃO]],[1]Mun!$D$1:$E$137,2,FALSE)</f>
        <v>GPM</v>
      </c>
      <c r="D186" s="5" t="s">
        <v>40</v>
      </c>
      <c r="E186" s="5" t="s">
        <v>398</v>
      </c>
      <c r="F186" s="17" t="s">
        <v>496</v>
      </c>
      <c r="G186" s="5"/>
      <c r="H186" s="5"/>
      <c r="I186" s="7"/>
      <c r="J186" s="7"/>
      <c r="K186" s="2"/>
      <c r="L186" s="13"/>
      <c r="M186" s="13"/>
      <c r="N186" s="14"/>
      <c r="O186" s="16"/>
      <c r="P186" s="16"/>
      <c r="Q186" s="16"/>
      <c r="R186" s="16"/>
      <c r="S186" s="16"/>
      <c r="U186" s="9">
        <v>153.80000000000001</v>
      </c>
      <c r="Y186" s="10" t="e">
        <f>VLOOKUP(Tabela3[[#This Row],[SISTEMA]],'[1]Resultado Geral'!$D$2:$J$171,7,0)</f>
        <v>#N/A</v>
      </c>
    </row>
    <row r="187" spans="1:27" ht="14.5" customHeight="1">
      <c r="A187" s="2">
        <v>265</v>
      </c>
      <c r="B187" s="2" t="str">
        <f>VLOOKUP(Tabela3[[#This Row],[COORDENAÇÃO]],[1]Mun!$D$1:$F$137,3,FALSE)</f>
        <v>Lote 1</v>
      </c>
      <c r="C187" s="5" t="str">
        <f>VLOOKUP(Tabela3[[#This Row],[COORDENAÇÃO]],[1]Mun!$D$1:$E$137,2,FALSE)</f>
        <v>GPM</v>
      </c>
      <c r="D187" s="5" t="s">
        <v>40</v>
      </c>
      <c r="E187" s="5" t="s">
        <v>146</v>
      </c>
      <c r="F187" s="12" t="s">
        <v>497</v>
      </c>
      <c r="G187" s="5"/>
      <c r="H187" s="5"/>
      <c r="I187" s="7"/>
      <c r="J187" s="7"/>
      <c r="K187" s="2"/>
      <c r="L187" s="13"/>
      <c r="M187" s="13"/>
      <c r="N187" s="14"/>
      <c r="O187" s="15"/>
      <c r="P187" s="16"/>
      <c r="Q187" s="16"/>
      <c r="R187" s="16"/>
      <c r="S187" s="16"/>
      <c r="U187" s="9">
        <v>151.30000000000001</v>
      </c>
      <c r="Y187" s="10" t="e">
        <f>VLOOKUP(Tabela3[[#This Row],[SISTEMA]],'[1]Resultado Geral'!$D$2:$J$171,7,0)</f>
        <v>#N/A</v>
      </c>
    </row>
    <row r="188" spans="1:27" ht="14.5" customHeight="1">
      <c r="A188" s="2">
        <v>22</v>
      </c>
      <c r="B188" s="2" t="str">
        <f>VLOOKUP(Tabela3[[#This Row],[COORDENAÇÃO]],[1]Mun!$D$1:$F$137,3,FALSE)</f>
        <v>Lote 1</v>
      </c>
      <c r="C188" s="5" t="str">
        <f>VLOOKUP(Tabela3[[#This Row],[COORDENAÇÃO]],[1]Mun!$D$1:$E$137,2,FALSE)</f>
        <v>GPM</v>
      </c>
      <c r="D188" s="5" t="s">
        <v>422</v>
      </c>
      <c r="E188" s="5" t="s">
        <v>423</v>
      </c>
      <c r="F188" s="6" t="s">
        <v>498</v>
      </c>
      <c r="G188" s="5"/>
      <c r="H188" s="5" t="s">
        <v>499</v>
      </c>
      <c r="I188" s="7">
        <v>-8.3521099999999997</v>
      </c>
      <c r="J188" s="7">
        <v>-35.051380000000002</v>
      </c>
      <c r="K188" s="2">
        <v>1</v>
      </c>
      <c r="L188" s="8">
        <v>800</v>
      </c>
      <c r="M188" s="8"/>
      <c r="N188" s="33" t="s">
        <v>32</v>
      </c>
      <c r="O188" s="34" t="s">
        <v>273</v>
      </c>
      <c r="P188" s="34"/>
      <c r="Q188" s="32" t="s">
        <v>44</v>
      </c>
      <c r="R188" s="32"/>
      <c r="S188" s="32"/>
      <c r="U188" s="9">
        <v>50.6</v>
      </c>
      <c r="V188" s="5" t="s">
        <v>33</v>
      </c>
      <c r="W188" s="5" t="s">
        <v>32</v>
      </c>
      <c r="X188" s="5" t="s">
        <v>44</v>
      </c>
      <c r="Y188" s="10">
        <f>VLOOKUP(Tabela3[[#This Row],[SISTEMA]],'[1]Resultado Geral'!$D$2:$J$171,7,0)</f>
        <v>1.654742450373152E-2</v>
      </c>
      <c r="AA188" s="5" t="s">
        <v>500</v>
      </c>
    </row>
    <row r="189" spans="1:27" ht="14.5" customHeight="1">
      <c r="A189" s="2">
        <v>95</v>
      </c>
      <c r="B189" s="2" t="str">
        <f>VLOOKUP(Tabela3[[#This Row],[COORDENAÇÃO]],[1]Mun!$D$1:$F$137,3,FALSE)</f>
        <v>Lote 3</v>
      </c>
      <c r="C189" s="5" t="str">
        <f>VLOOKUP(Tabela3[[#This Row],[COORDENAÇÃO]],[1]Mun!$D$1:$E$137,2,FALSE)</f>
        <v>GPR SERTAO</v>
      </c>
      <c r="D189" s="5" t="s">
        <v>230</v>
      </c>
      <c r="E189" s="5" t="s">
        <v>501</v>
      </c>
      <c r="F189" s="6" t="s">
        <v>502</v>
      </c>
      <c r="G189" s="5"/>
      <c r="H189" s="5" t="s">
        <v>233</v>
      </c>
      <c r="I189" s="7">
        <v>-8.6229999999999993</v>
      </c>
      <c r="J189" s="7">
        <v>-39.598999999999997</v>
      </c>
      <c r="K189" s="2" t="s">
        <v>39</v>
      </c>
      <c r="L189" s="8" t="s">
        <v>39</v>
      </c>
      <c r="M189" s="8"/>
      <c r="N189" s="2" t="s">
        <v>39</v>
      </c>
      <c r="O189" s="2"/>
      <c r="P189" s="2"/>
      <c r="Q189" s="2"/>
      <c r="R189" s="2"/>
      <c r="S189" s="2"/>
      <c r="U189" s="9">
        <v>112.6</v>
      </c>
      <c r="V189" s="5" t="s">
        <v>33</v>
      </c>
      <c r="W189" s="5" t="s">
        <v>32</v>
      </c>
      <c r="X189" s="5" t="s">
        <v>32</v>
      </c>
      <c r="Y189" s="10">
        <f>VLOOKUP(Tabela3[[#This Row],[SISTEMA]],'[1]Resultado Geral'!$D$2:$J$171,7,0)</f>
        <v>3.2811454857563996E-3</v>
      </c>
    </row>
    <row r="190" spans="1:27" ht="14.5" customHeight="1">
      <c r="A190" s="2">
        <v>177</v>
      </c>
      <c r="B190" s="2" t="str">
        <f>VLOOKUP(Tabela3[[#This Row],[COORDENAÇÃO]],[1]Mun!$D$1:$F$137,3,FALSE)</f>
        <v>Lote 2</v>
      </c>
      <c r="C190" s="5" t="str">
        <f>VLOOKUP(Tabela3[[#This Row],[COORDENAÇÃO]],[1]Mun!$D$1:$E$137,2,FALSE)</f>
        <v>GPR Agreste</v>
      </c>
      <c r="D190" s="5" t="s">
        <v>61</v>
      </c>
      <c r="E190" s="5" t="s">
        <v>281</v>
      </c>
      <c r="F190" s="6" t="s">
        <v>282</v>
      </c>
      <c r="G190" s="5"/>
      <c r="H190" s="5" t="s">
        <v>503</v>
      </c>
      <c r="I190" s="7"/>
      <c r="J190" s="7"/>
      <c r="K190" s="2">
        <v>1</v>
      </c>
      <c r="L190" s="8">
        <v>200</v>
      </c>
      <c r="M190" s="8"/>
      <c r="N190" s="14" t="s">
        <v>44</v>
      </c>
      <c r="O190" s="16"/>
      <c r="P190" s="16"/>
      <c r="Q190" s="16"/>
      <c r="R190" s="16"/>
      <c r="S190" s="16"/>
      <c r="U190" s="9">
        <v>326.89999999999998</v>
      </c>
      <c r="X190" s="5" t="s">
        <v>44</v>
      </c>
      <c r="Y190" s="10">
        <f>VLOOKUP(Tabela3[[#This Row],[SISTEMA]],'[1]Resultado Geral'!$D$2:$J$171,7,0)</f>
        <v>7.4810668328234217E-4</v>
      </c>
    </row>
    <row r="191" spans="1:27" ht="14.5" customHeight="1">
      <c r="A191" s="2">
        <v>184</v>
      </c>
      <c r="B191" s="2" t="str">
        <f>VLOOKUP(Tabela3[[#This Row],[COORDENAÇÃO]],[1]Mun!$D$1:$F$137,3,FALSE)</f>
        <v>Lote 2</v>
      </c>
      <c r="C191" s="5" t="str">
        <f>VLOOKUP(Tabela3[[#This Row],[COORDENAÇÃO]],[1]Mun!$D$1:$E$137,2,FALSE)</f>
        <v>GPR Agreste</v>
      </c>
      <c r="D191" s="5" t="s">
        <v>61</v>
      </c>
      <c r="E191" s="5" t="s">
        <v>218</v>
      </c>
      <c r="F191" s="6" t="s">
        <v>504</v>
      </c>
      <c r="G191" s="5"/>
      <c r="H191" s="5" t="s">
        <v>505</v>
      </c>
      <c r="I191" s="7"/>
      <c r="J191" s="7"/>
      <c r="K191" s="2">
        <v>1</v>
      </c>
      <c r="L191" s="8">
        <v>200</v>
      </c>
      <c r="M191" s="8"/>
      <c r="N191" s="14" t="s">
        <v>44</v>
      </c>
      <c r="O191" s="16"/>
      <c r="P191" s="16"/>
      <c r="Q191" s="16"/>
      <c r="R191" s="16"/>
      <c r="S191" s="16"/>
      <c r="T191" s="5" t="s">
        <v>506</v>
      </c>
      <c r="U191" s="9">
        <v>389.9</v>
      </c>
      <c r="X191" s="5" t="s">
        <v>44</v>
      </c>
      <c r="Y191" s="10">
        <f>VLOOKUP(Tabela3[[#This Row],[SISTEMA]],'[1]Resultado Geral'!$D$2:$J$171,7,0)</f>
        <v>7.3579745462293419E-4</v>
      </c>
    </row>
    <row r="192" spans="1:27" ht="14.5" customHeight="1">
      <c r="A192" s="2">
        <v>200</v>
      </c>
      <c r="B192" s="2" t="str">
        <f>VLOOKUP(Tabela3[[#This Row],[COORDENAÇÃO]],[1]Mun!$D$1:$F$137,3,FALSE)</f>
        <v>Lote 2</v>
      </c>
      <c r="C192" s="5" t="str">
        <f>VLOOKUP(Tabela3[[#This Row],[COORDENAÇÃO]],[1]Mun!$D$1:$E$137,2,FALSE)</f>
        <v>GPR Agreste</v>
      </c>
      <c r="D192" s="5" t="s">
        <v>61</v>
      </c>
      <c r="E192" s="5" t="s">
        <v>507</v>
      </c>
      <c r="F192" s="6" t="s">
        <v>508</v>
      </c>
      <c r="G192" s="5"/>
      <c r="H192" s="5" t="s">
        <v>509</v>
      </c>
      <c r="I192" s="7"/>
      <c r="J192" s="7"/>
      <c r="K192" s="2">
        <v>1</v>
      </c>
      <c r="L192" s="8">
        <v>200</v>
      </c>
      <c r="M192" s="8"/>
      <c r="N192" s="14" t="s">
        <v>44</v>
      </c>
      <c r="O192" s="16"/>
      <c r="P192" s="16"/>
      <c r="Q192" s="16"/>
      <c r="R192" s="16"/>
      <c r="S192" s="16"/>
      <c r="U192" s="9">
        <v>390.6</v>
      </c>
      <c r="X192" s="5" t="s">
        <v>44</v>
      </c>
      <c r="Y192" s="10">
        <f>VLOOKUP(Tabela3[[#This Row],[SISTEMA]],'[1]Resultado Geral'!$D$2:$J$171,7,0)</f>
        <v>6.018523748215134E-4</v>
      </c>
    </row>
    <row r="193" spans="1:26" ht="14.5" customHeight="1">
      <c r="A193" s="2">
        <v>215</v>
      </c>
      <c r="B193" s="2" t="str">
        <f>VLOOKUP(Tabela3[[#This Row],[COORDENAÇÃO]],[1]Mun!$D$1:$F$137,3,FALSE)</f>
        <v>Lote 2</v>
      </c>
      <c r="C193" s="5" t="str">
        <f>VLOOKUP(Tabela3[[#This Row],[COORDENAÇÃO]],[1]Mun!$D$1:$E$137,2,FALSE)</f>
        <v>GPR Agreste</v>
      </c>
      <c r="D193" s="5" t="s">
        <v>61</v>
      </c>
      <c r="E193" s="5" t="s">
        <v>234</v>
      </c>
      <c r="F193" s="6" t="s">
        <v>235</v>
      </c>
      <c r="G193" s="5"/>
      <c r="H193" s="5" t="s">
        <v>510</v>
      </c>
      <c r="I193" s="7"/>
      <c r="J193" s="7"/>
      <c r="K193" s="2">
        <v>1</v>
      </c>
      <c r="L193" s="8">
        <v>200</v>
      </c>
      <c r="M193" s="8"/>
      <c r="N193" s="14" t="s">
        <v>44</v>
      </c>
      <c r="O193" s="16"/>
      <c r="P193" s="16"/>
      <c r="Q193" s="16"/>
      <c r="R193" s="16"/>
      <c r="S193" s="16"/>
      <c r="U193" s="9">
        <v>355</v>
      </c>
      <c r="X193" s="5" t="s">
        <v>44</v>
      </c>
      <c r="Y193" s="10">
        <f>VLOOKUP(Tabela3[[#This Row],[SISTEMA]],'[1]Resultado Geral'!$D$2:$J$171,7,0)</f>
        <v>1.9002567500414361E-4</v>
      </c>
    </row>
    <row r="194" spans="1:26" ht="14.5" customHeight="1">
      <c r="A194" s="2">
        <v>19</v>
      </c>
      <c r="B194" s="2" t="str">
        <f>VLOOKUP(Tabela3[[#This Row],[COORDENAÇÃO]],[1]Mun!$D$1:$F$137,3,FALSE)</f>
        <v>Lote 2</v>
      </c>
      <c r="C194" s="5" t="str">
        <f>VLOOKUP(Tabela3[[#This Row],[COORDENAÇÃO]],[1]Mun!$D$1:$E$137,2,FALSE)</f>
        <v>GPR Agreste</v>
      </c>
      <c r="D194" s="5" t="s">
        <v>61</v>
      </c>
      <c r="E194" s="5" t="s">
        <v>511</v>
      </c>
      <c r="F194" s="6" t="s">
        <v>512</v>
      </c>
      <c r="G194" s="5" t="s">
        <v>513</v>
      </c>
      <c r="H194" s="5" t="s">
        <v>514</v>
      </c>
      <c r="I194" s="7">
        <v>-8.946477777777778</v>
      </c>
      <c r="J194" s="7">
        <v>-36.491358333333338</v>
      </c>
      <c r="K194" s="2">
        <v>1</v>
      </c>
      <c r="L194" s="8">
        <v>250</v>
      </c>
      <c r="M194" s="8"/>
      <c r="N194" s="11" t="s">
        <v>44</v>
      </c>
      <c r="O194" s="2"/>
      <c r="P194" s="2"/>
      <c r="Q194" s="2" t="s">
        <v>44</v>
      </c>
      <c r="R194" s="2"/>
      <c r="S194" s="2"/>
      <c r="U194" s="9">
        <v>346.1</v>
      </c>
      <c r="V194" s="5" t="s">
        <v>33</v>
      </c>
      <c r="W194" s="5" t="s">
        <v>32</v>
      </c>
      <c r="X194" s="5" t="s">
        <v>32</v>
      </c>
      <c r="Y194" s="10">
        <f>VLOOKUP(Tabela3[[#This Row],[SISTEMA]],'[1]Resultado Geral'!$D$2:$J$171,7,0)</f>
        <v>1.6611194451697307E-2</v>
      </c>
      <c r="Z194" s="35" t="s">
        <v>515</v>
      </c>
    </row>
    <row r="195" spans="1:26" ht="14.5" customHeight="1">
      <c r="A195" s="2">
        <v>39</v>
      </c>
      <c r="B195" s="2" t="str">
        <f>VLOOKUP(Tabela3[[#This Row],[COORDENAÇÃO]],[1]Mun!$D$1:$F$137,3,FALSE)</f>
        <v>Lote 2</v>
      </c>
      <c r="C195" s="5" t="str">
        <f>VLOOKUP(Tabela3[[#This Row],[COORDENAÇÃO]],[1]Mun!$D$1:$E$137,2,FALSE)</f>
        <v>GPR Agreste</v>
      </c>
      <c r="D195" s="5" t="s">
        <v>210</v>
      </c>
      <c r="E195" s="5" t="s">
        <v>270</v>
      </c>
      <c r="F195" s="6" t="s">
        <v>271</v>
      </c>
      <c r="G195" s="5"/>
      <c r="H195" s="5" t="s">
        <v>516</v>
      </c>
      <c r="I195" s="7"/>
      <c r="J195" s="7"/>
      <c r="K195" s="2">
        <v>1</v>
      </c>
      <c r="L195" s="8">
        <v>300</v>
      </c>
      <c r="M195" s="8"/>
      <c r="N195" s="2" t="s">
        <v>32</v>
      </c>
      <c r="O195" s="2"/>
      <c r="P195" s="2"/>
      <c r="Q195" s="2" t="s">
        <v>99</v>
      </c>
      <c r="R195" s="2"/>
      <c r="S195" s="2"/>
      <c r="U195" s="9">
        <v>36.6</v>
      </c>
      <c r="W195" s="5" t="s">
        <v>32</v>
      </c>
      <c r="X195" s="5" t="s">
        <v>44</v>
      </c>
      <c r="Y195" s="10">
        <f>VLOOKUP(Tabela3[[#This Row],[SISTEMA]],'[1]Resultado Geral'!$D$2:$J$171,7,0)</f>
        <v>7.5144608618618125E-3</v>
      </c>
    </row>
    <row r="196" spans="1:26" ht="14.5" customHeight="1">
      <c r="A196" s="2">
        <v>40</v>
      </c>
      <c r="B196" s="2" t="str">
        <f>VLOOKUP(Tabela3[[#This Row],[COORDENAÇÃO]],[1]Mun!$D$1:$F$137,3,FALSE)</f>
        <v>Lote 2</v>
      </c>
      <c r="C196" s="5" t="str">
        <f>VLOOKUP(Tabela3[[#This Row],[COORDENAÇÃO]],[1]Mun!$D$1:$E$137,2,FALSE)</f>
        <v>GPR Agreste</v>
      </c>
      <c r="D196" s="5" t="s">
        <v>210</v>
      </c>
      <c r="E196" s="5" t="s">
        <v>270</v>
      </c>
      <c r="F196" s="6" t="s">
        <v>271</v>
      </c>
      <c r="G196" s="5"/>
      <c r="H196" s="5" t="s">
        <v>517</v>
      </c>
      <c r="I196" s="7"/>
      <c r="J196" s="7"/>
      <c r="K196" s="2">
        <v>1</v>
      </c>
      <c r="L196" s="8">
        <v>300</v>
      </c>
      <c r="M196" s="8"/>
      <c r="N196" s="2" t="s">
        <v>32</v>
      </c>
      <c r="O196" s="2"/>
      <c r="P196" s="2"/>
      <c r="Q196" s="2" t="s">
        <v>99</v>
      </c>
      <c r="R196" s="2"/>
      <c r="S196" s="2"/>
      <c r="U196" s="9">
        <v>36.6</v>
      </c>
      <c r="W196" s="5" t="s">
        <v>32</v>
      </c>
      <c r="X196" s="5" t="s">
        <v>44</v>
      </c>
      <c r="Y196" s="10">
        <f>VLOOKUP(Tabela3[[#This Row],[SISTEMA]],'[1]Resultado Geral'!$D$2:$J$171,7,0)</f>
        <v>7.5144608618618125E-3</v>
      </c>
    </row>
    <row r="197" spans="1:26" ht="14.5" customHeight="1">
      <c r="A197" s="2">
        <v>165</v>
      </c>
      <c r="B197" s="2" t="str">
        <f>VLOOKUP(Tabela3[[#This Row],[COORDENAÇÃO]],[1]Mun!$D$1:$F$137,3,FALSE)</f>
        <v>Lote 3</v>
      </c>
      <c r="C197" s="5" t="str">
        <f>VLOOKUP(Tabela3[[#This Row],[COORDENAÇÃO]],[1]Mun!$D$1:$E$137,2,FALSE)</f>
        <v>GPR SERTAO</v>
      </c>
      <c r="D197" s="5" t="s">
        <v>45</v>
      </c>
      <c r="E197" s="5" t="s">
        <v>518</v>
      </c>
      <c r="F197" s="6" t="s">
        <v>519</v>
      </c>
      <c r="G197" s="5"/>
      <c r="H197" s="5" t="s">
        <v>233</v>
      </c>
      <c r="I197" s="7">
        <v>-8.6229999999999993</v>
      </c>
      <c r="J197" s="7">
        <v>-39.598999999999997</v>
      </c>
      <c r="K197" s="2" t="s">
        <v>39</v>
      </c>
      <c r="L197" s="8" t="s">
        <v>39</v>
      </c>
      <c r="M197" s="8"/>
      <c r="N197" s="16" t="s">
        <v>39</v>
      </c>
      <c r="O197" s="16"/>
      <c r="P197" s="16"/>
      <c r="Q197" s="16"/>
      <c r="R197" s="16"/>
      <c r="S197" s="16"/>
      <c r="U197" s="9">
        <v>50.8</v>
      </c>
      <c r="V197" s="5" t="s">
        <v>33</v>
      </c>
      <c r="X197" s="5" t="s">
        <v>32</v>
      </c>
      <c r="Y197" s="10">
        <f>VLOOKUP(Tabela3[[#This Row],[SISTEMA]],'[1]Resultado Geral'!$D$2:$J$171,7,0)</f>
        <v>8.72044642074397E-4</v>
      </c>
    </row>
    <row r="198" spans="1:26" ht="14.5" customHeight="1">
      <c r="A198" s="2">
        <v>107</v>
      </c>
      <c r="B198" s="2" t="str">
        <f>VLOOKUP(Tabela3[[#This Row],[COORDENAÇÃO]],[1]Mun!$D$1:$F$137,3,FALSE)</f>
        <v>Lote 2</v>
      </c>
      <c r="C198" s="5" t="str">
        <f>VLOOKUP(Tabela3[[#This Row],[COORDENAÇÃO]],[1]Mun!$D$1:$E$137,2,FALSE)</f>
        <v>GPR Agreste</v>
      </c>
      <c r="D198" s="5" t="s">
        <v>206</v>
      </c>
      <c r="E198" s="5" t="s">
        <v>228</v>
      </c>
      <c r="F198" s="6" t="s">
        <v>520</v>
      </c>
      <c r="G198" s="5"/>
      <c r="H198" s="5" t="s">
        <v>521</v>
      </c>
      <c r="I198" s="7"/>
      <c r="J198" s="7"/>
      <c r="K198" s="2">
        <v>1</v>
      </c>
      <c r="L198" s="8">
        <v>250</v>
      </c>
      <c r="M198" s="8" t="s">
        <v>522</v>
      </c>
      <c r="N198" s="11" t="s">
        <v>44</v>
      </c>
      <c r="O198" s="2"/>
      <c r="P198" s="2"/>
      <c r="Q198" s="2" t="s">
        <v>44</v>
      </c>
      <c r="R198" s="2"/>
      <c r="S198" s="2"/>
      <c r="U198" s="9">
        <v>23.5</v>
      </c>
      <c r="X198" s="5" t="s">
        <v>44</v>
      </c>
      <c r="Y198" s="10">
        <f>VLOOKUP(Tabela3[[#This Row],[SISTEMA]],'[1]Resultado Geral'!$D$2:$J$171,7,0)</f>
        <v>2.0475133366628273E-3</v>
      </c>
      <c r="Z198" s="24"/>
    </row>
    <row r="199" spans="1:26" ht="14.5" customHeight="1">
      <c r="A199" s="2">
        <v>34</v>
      </c>
      <c r="B199" s="2" t="str">
        <f>VLOOKUP(Tabela3[[#This Row],[COORDENAÇÃO]],[1]Mun!$D$1:$F$137,3,FALSE)</f>
        <v>Lote 2</v>
      </c>
      <c r="C199" s="5" t="str">
        <f>VLOOKUP(Tabela3[[#This Row],[COORDENAÇÃO]],[1]Mun!$D$1:$E$137,2,FALSE)</f>
        <v>GPR Agreste</v>
      </c>
      <c r="D199" s="5" t="s">
        <v>210</v>
      </c>
      <c r="E199" s="5" t="s">
        <v>523</v>
      </c>
      <c r="F199" s="6" t="s">
        <v>524</v>
      </c>
      <c r="G199" s="5"/>
      <c r="H199" s="5" t="s">
        <v>525</v>
      </c>
      <c r="I199" s="7"/>
      <c r="J199" s="7"/>
      <c r="K199" s="2" t="s">
        <v>39</v>
      </c>
      <c r="L199" s="8" t="s">
        <v>39</v>
      </c>
      <c r="M199" s="8"/>
      <c r="N199" s="2" t="s">
        <v>39</v>
      </c>
      <c r="O199" s="2"/>
      <c r="P199" s="2"/>
      <c r="Q199" s="2"/>
      <c r="R199" s="2"/>
      <c r="S199" s="2"/>
      <c r="U199" s="9">
        <v>55.8</v>
      </c>
      <c r="V199" s="5" t="s">
        <v>33</v>
      </c>
      <c r="W199" s="5" t="s">
        <v>32</v>
      </c>
      <c r="X199" s="5" t="s">
        <v>44</v>
      </c>
      <c r="Y199" s="10">
        <f>VLOOKUP(Tabela3[[#This Row],[SISTEMA]],'[1]Resultado Geral'!$D$2:$J$171,7,0)</f>
        <v>2.1332629314778258E-3</v>
      </c>
    </row>
    <row r="200" spans="1:26" ht="14.5" customHeight="1">
      <c r="A200" s="2">
        <v>204</v>
      </c>
      <c r="B200" s="2" t="str">
        <f>VLOOKUP(Tabela3[[#This Row],[COORDENAÇÃO]],[1]Mun!$D$1:$F$137,3,FALSE)</f>
        <v>Lote 2</v>
      </c>
      <c r="C200" s="5" t="str">
        <f>VLOOKUP(Tabela3[[#This Row],[COORDENAÇÃO]],[1]Mun!$D$1:$E$137,2,FALSE)</f>
        <v>GPR Agreste</v>
      </c>
      <c r="D200" s="5" t="s">
        <v>206</v>
      </c>
      <c r="E200" s="5" t="s">
        <v>526</v>
      </c>
      <c r="F200" s="6" t="s">
        <v>527</v>
      </c>
      <c r="G200" s="5"/>
      <c r="H200" s="5" t="s">
        <v>528</v>
      </c>
      <c r="I200" s="7"/>
      <c r="J200" s="7"/>
      <c r="K200" s="2">
        <v>1</v>
      </c>
      <c r="L200" s="8">
        <v>250</v>
      </c>
      <c r="M200" s="8" t="s">
        <v>522</v>
      </c>
      <c r="N200" s="14" t="s">
        <v>44</v>
      </c>
      <c r="O200" s="16"/>
      <c r="P200" s="16"/>
      <c r="Q200" s="16" t="s">
        <v>44</v>
      </c>
      <c r="R200" s="16"/>
      <c r="S200" s="16"/>
      <c r="U200" s="9">
        <v>36.1</v>
      </c>
      <c r="X200" s="5" t="s">
        <v>44</v>
      </c>
      <c r="Y200" s="10">
        <f>VLOOKUP(Tabela3[[#This Row],[SISTEMA]],'[1]Resultado Geral'!$D$2:$J$171,7,0)</f>
        <v>5.9762401383164042E-4</v>
      </c>
    </row>
    <row r="201" spans="1:26" ht="14.5" customHeight="1">
      <c r="A201" s="2">
        <v>41</v>
      </c>
      <c r="B201" s="2" t="str">
        <f>VLOOKUP(Tabela3[[#This Row],[COORDENAÇÃO]],[1]Mun!$D$1:$F$137,3,FALSE)</f>
        <v>Lote 2</v>
      </c>
      <c r="C201" s="5" t="str">
        <f>VLOOKUP(Tabela3[[#This Row],[COORDENAÇÃO]],[1]Mun!$D$1:$E$137,2,FALSE)</f>
        <v>GPR Agreste</v>
      </c>
      <c r="D201" s="5" t="s">
        <v>210</v>
      </c>
      <c r="E201" s="5" t="s">
        <v>523</v>
      </c>
      <c r="F201" s="6" t="s">
        <v>524</v>
      </c>
      <c r="G201" s="5"/>
      <c r="H201" s="5" t="s">
        <v>529</v>
      </c>
      <c r="I201" s="7"/>
      <c r="J201" s="7"/>
      <c r="K201" s="2" t="s">
        <v>39</v>
      </c>
      <c r="L201" s="8" t="s">
        <v>39</v>
      </c>
      <c r="M201" s="8"/>
      <c r="N201" s="2" t="s">
        <v>39</v>
      </c>
      <c r="O201" s="2"/>
      <c r="P201" s="2"/>
      <c r="Q201" s="2"/>
      <c r="R201" s="2"/>
      <c r="S201" s="2"/>
      <c r="U201" s="9">
        <v>55.8</v>
      </c>
      <c r="V201" s="5" t="s">
        <v>33</v>
      </c>
      <c r="W201" s="5" t="s">
        <v>32</v>
      </c>
      <c r="X201" s="5" t="s">
        <v>44</v>
      </c>
      <c r="Y201" s="10">
        <f>VLOOKUP(Tabela3[[#This Row],[SISTEMA]],'[1]Resultado Geral'!$D$2:$J$171,7,0)</f>
        <v>2.1332629314778258E-3</v>
      </c>
    </row>
    <row r="202" spans="1:26" ht="14.5" customHeight="1">
      <c r="A202" s="2">
        <v>134</v>
      </c>
      <c r="B202" s="2" t="str">
        <f>VLOOKUP(Tabela3[[#This Row],[COORDENAÇÃO]],[1]Mun!$D$1:$F$137,3,FALSE)</f>
        <v>Lote 2</v>
      </c>
      <c r="C202" s="5" t="str">
        <f>VLOOKUP(Tabela3[[#This Row],[COORDENAÇÃO]],[1]Mun!$D$1:$E$137,2,FALSE)</f>
        <v>GPR Agreste</v>
      </c>
      <c r="D202" s="5" t="s">
        <v>27</v>
      </c>
      <c r="E202" s="5" t="s">
        <v>530</v>
      </c>
      <c r="F202" s="6" t="s">
        <v>531</v>
      </c>
      <c r="G202" s="5"/>
      <c r="H202" s="5" t="s">
        <v>532</v>
      </c>
      <c r="I202" s="7"/>
      <c r="J202" s="7"/>
      <c r="K202" s="2">
        <v>1</v>
      </c>
      <c r="L202" s="8">
        <v>250</v>
      </c>
      <c r="M202" s="8"/>
      <c r="N202" s="11" t="s">
        <v>44</v>
      </c>
      <c r="O202" s="2"/>
      <c r="P202" s="2"/>
      <c r="Q202" s="2"/>
      <c r="R202" s="2"/>
      <c r="S202" s="2"/>
      <c r="U202" s="9">
        <v>97.8</v>
      </c>
      <c r="X202" s="5" t="s">
        <v>44</v>
      </c>
      <c r="Y202" s="10">
        <f>VLOOKUP(Tabela3[[#This Row],[SISTEMA]],'[1]Resultado Geral'!$D$2:$J$171,7,0)</f>
        <v>1.3850716809756861E-3</v>
      </c>
    </row>
    <row r="203" spans="1:26" ht="14.5" customHeight="1">
      <c r="A203" s="2">
        <v>202</v>
      </c>
      <c r="B203" s="2" t="str">
        <f>VLOOKUP(Tabela3[[#This Row],[COORDENAÇÃO]],[1]Mun!$D$1:$F$137,3,FALSE)</f>
        <v>Lote 2</v>
      </c>
      <c r="C203" s="5" t="str">
        <f>VLOOKUP(Tabela3[[#This Row],[COORDENAÇÃO]],[1]Mun!$D$1:$E$137,2,FALSE)</f>
        <v>GPR Agreste</v>
      </c>
      <c r="D203" s="5" t="s">
        <v>77</v>
      </c>
      <c r="E203" s="5" t="s">
        <v>287</v>
      </c>
      <c r="F203" s="6" t="s">
        <v>533</v>
      </c>
      <c r="G203" s="5"/>
      <c r="H203" s="5" t="s">
        <v>534</v>
      </c>
      <c r="I203" s="7">
        <v>-7.9526700000000003</v>
      </c>
      <c r="J203" s="7">
        <v>-36.076219999999999</v>
      </c>
      <c r="K203" s="2">
        <v>1</v>
      </c>
      <c r="L203" s="8">
        <v>250</v>
      </c>
      <c r="M203" s="8"/>
      <c r="N203" s="14" t="s">
        <v>44</v>
      </c>
      <c r="O203" s="16"/>
      <c r="P203" s="16"/>
      <c r="Q203" s="16"/>
      <c r="R203" s="16"/>
      <c r="S203" s="16"/>
      <c r="U203" s="9">
        <v>61.3</v>
      </c>
      <c r="X203" s="5" t="s">
        <v>44</v>
      </c>
      <c r="Y203" s="10">
        <f>VLOOKUP(Tabela3[[#This Row],[SISTEMA]],'[1]Resultado Geral'!$D$2:$J$171,7,0)</f>
        <v>0</v>
      </c>
    </row>
    <row r="204" spans="1:26" ht="14.5" customHeight="1">
      <c r="A204" s="2">
        <v>83</v>
      </c>
      <c r="B204" s="2" t="str">
        <f>VLOOKUP(Tabela3[[#This Row],[COORDENAÇÃO]],[1]Mun!$D$1:$F$137,3,FALSE)</f>
        <v>Lote 2</v>
      </c>
      <c r="C204" s="5" t="str">
        <f>VLOOKUP(Tabela3[[#This Row],[COORDENAÇÃO]],[1]Mun!$D$1:$E$137,2,FALSE)</f>
        <v>GPR Agreste</v>
      </c>
      <c r="D204" s="5" t="s">
        <v>27</v>
      </c>
      <c r="E204" s="5" t="s">
        <v>181</v>
      </c>
      <c r="F204" s="6" t="s">
        <v>182</v>
      </c>
      <c r="G204" s="5"/>
      <c r="H204" s="5" t="s">
        <v>252</v>
      </c>
      <c r="I204" s="7">
        <v>-8.3131830000000004</v>
      </c>
      <c r="J204" s="7">
        <v>-36.937334999999997</v>
      </c>
      <c r="K204" s="2" t="s">
        <v>39</v>
      </c>
      <c r="L204" s="8" t="s">
        <v>39</v>
      </c>
      <c r="M204" s="8"/>
      <c r="N204" s="2" t="s">
        <v>39</v>
      </c>
      <c r="O204" s="2"/>
      <c r="P204" s="2"/>
      <c r="Q204" s="2"/>
      <c r="R204" s="2"/>
      <c r="S204" s="2"/>
      <c r="U204" s="9">
        <v>85.4</v>
      </c>
      <c r="V204" s="5" t="s">
        <v>33</v>
      </c>
      <c r="X204" s="5" t="s">
        <v>44</v>
      </c>
      <c r="Y204" s="10">
        <f>VLOOKUP(Tabela3[[#This Row],[SISTEMA]],'[1]Resultado Geral'!$D$2:$J$171,7,0)</f>
        <v>3.5122332441510874E-3</v>
      </c>
    </row>
    <row r="205" spans="1:26" ht="14.5" customHeight="1">
      <c r="A205" s="2">
        <v>140</v>
      </c>
      <c r="B205" s="2" t="str">
        <f>VLOOKUP(Tabela3[[#This Row],[COORDENAÇÃO]],[1]Mun!$D$1:$F$137,3,FALSE)</f>
        <v>Lote 2</v>
      </c>
      <c r="C205" s="5" t="str">
        <f>VLOOKUP(Tabela3[[#This Row],[COORDENAÇÃO]],[1]Mun!$D$1:$E$137,2,FALSE)</f>
        <v>GPR Agreste</v>
      </c>
      <c r="D205" s="5" t="s">
        <v>27</v>
      </c>
      <c r="E205" s="5" t="s">
        <v>181</v>
      </c>
      <c r="F205" s="6" t="s">
        <v>535</v>
      </c>
      <c r="G205" s="5"/>
      <c r="H205" s="5" t="s">
        <v>252</v>
      </c>
      <c r="I205" s="7">
        <v>-8.3131830000000004</v>
      </c>
      <c r="J205" s="7">
        <v>-36.937334999999997</v>
      </c>
      <c r="K205" s="2" t="s">
        <v>39</v>
      </c>
      <c r="L205" s="8" t="s">
        <v>39</v>
      </c>
      <c r="M205" s="8"/>
      <c r="N205" s="2" t="s">
        <v>39</v>
      </c>
      <c r="O205" s="2"/>
      <c r="P205" s="2"/>
      <c r="Q205" s="2"/>
      <c r="R205" s="2"/>
      <c r="S205" s="2"/>
      <c r="U205" s="9">
        <v>85.4</v>
      </c>
      <c r="V205" s="5" t="s">
        <v>33</v>
      </c>
      <c r="X205" s="5" t="s">
        <v>44</v>
      </c>
      <c r="Y205" s="10">
        <f>VLOOKUP(Tabela3[[#This Row],[SISTEMA]],'[1]Resultado Geral'!$D$2:$J$171,7,0)</f>
        <v>1.4175188703642704E-3</v>
      </c>
    </row>
    <row r="206" spans="1:26" ht="14.5" customHeight="1">
      <c r="A206" s="2">
        <v>137</v>
      </c>
      <c r="B206" s="2" t="str">
        <f>VLOOKUP(Tabela3[[#This Row],[COORDENAÇÃO]],[1]Mun!$D$1:$F$137,3,FALSE)</f>
        <v>Lote 2</v>
      </c>
      <c r="C206" s="5" t="str">
        <f>VLOOKUP(Tabela3[[#This Row],[COORDENAÇÃO]],[1]Mun!$D$1:$E$137,2,FALSE)</f>
        <v>GPR Agreste</v>
      </c>
      <c r="D206" s="5" t="s">
        <v>27</v>
      </c>
      <c r="E206" s="5" t="s">
        <v>181</v>
      </c>
      <c r="F206" s="6" t="s">
        <v>536</v>
      </c>
      <c r="G206" s="5"/>
      <c r="H206" s="5" t="s">
        <v>252</v>
      </c>
      <c r="I206" s="7">
        <v>-8.3131830000000004</v>
      </c>
      <c r="J206" s="7">
        <v>-36.937334999999997</v>
      </c>
      <c r="K206" s="36" t="s">
        <v>39</v>
      </c>
      <c r="L206" s="8" t="s">
        <v>39</v>
      </c>
      <c r="M206" s="8"/>
      <c r="N206" s="2" t="s">
        <v>39</v>
      </c>
      <c r="O206" s="2"/>
      <c r="P206" s="2"/>
      <c r="Q206" s="2"/>
      <c r="R206" s="2"/>
      <c r="S206" s="2"/>
      <c r="U206" s="9">
        <v>85.4</v>
      </c>
      <c r="V206" s="5" t="s">
        <v>33</v>
      </c>
      <c r="X206" s="5" t="s">
        <v>44</v>
      </c>
      <c r="Y206" s="10">
        <f>VLOOKUP(Tabela3[[#This Row],[SISTEMA]],'[1]Resultado Geral'!$D$2:$J$171,7,0)</f>
        <v>0</v>
      </c>
    </row>
    <row r="207" spans="1:26" ht="14.5" customHeight="1">
      <c r="A207" s="2">
        <v>254</v>
      </c>
      <c r="B207" s="2" t="str">
        <f>VLOOKUP(Tabela3[[#This Row],[COORDENAÇÃO]],[1]Mun!$D$1:$F$137,3,FALSE)</f>
        <v>Lote 2</v>
      </c>
      <c r="C207" s="5" t="str">
        <f>VLOOKUP(Tabela3[[#This Row],[COORDENAÇÃO]],[1]Mun!$D$1:$E$137,2,FALSE)</f>
        <v>GPR Agreste</v>
      </c>
      <c r="D207" s="5" t="s">
        <v>61</v>
      </c>
      <c r="E207" s="5" t="s">
        <v>62</v>
      </c>
      <c r="F207" s="17" t="s">
        <v>537</v>
      </c>
      <c r="G207" s="5" t="s">
        <v>538</v>
      </c>
      <c r="H207" s="5" t="s">
        <v>65</v>
      </c>
      <c r="I207" s="7">
        <v>-9.3163444444444448</v>
      </c>
      <c r="J207" s="7">
        <v>-36.64031111111111</v>
      </c>
      <c r="K207" s="2">
        <v>1</v>
      </c>
      <c r="L207" s="13">
        <v>250</v>
      </c>
      <c r="M207" s="13"/>
      <c r="N207" s="14" t="s">
        <v>44</v>
      </c>
      <c r="O207" s="16" t="s">
        <v>39</v>
      </c>
      <c r="P207" s="16" t="s">
        <v>39</v>
      </c>
      <c r="Q207" s="16" t="s">
        <v>44</v>
      </c>
      <c r="R207" s="16"/>
      <c r="S207" s="16"/>
      <c r="U207" s="9">
        <v>391.5</v>
      </c>
      <c r="X207" s="5" t="s">
        <v>32</v>
      </c>
      <c r="Y207" s="10" t="e">
        <f>VLOOKUP(Tabela3[[#This Row],[SISTEMA]],'[1]Resultado Geral'!$D$2:$J$171,7,0)</f>
        <v>#N/A</v>
      </c>
    </row>
    <row r="208" spans="1:26">
      <c r="A208" s="2">
        <v>135</v>
      </c>
      <c r="B208" s="2" t="str">
        <f>VLOOKUP(Tabela3[[#This Row],[COORDENAÇÃO]],[1]Mun!$D$1:$F$137,3,FALSE)</f>
        <v>Lote 2</v>
      </c>
      <c r="C208" s="5" t="str">
        <f>VLOOKUP(Tabela3[[#This Row],[COORDENAÇÃO]],[1]Mun!$D$1:$E$137,2,FALSE)</f>
        <v>GPR Agreste</v>
      </c>
      <c r="D208" s="5" t="s">
        <v>27</v>
      </c>
      <c r="E208" s="5" t="s">
        <v>530</v>
      </c>
      <c r="F208" s="6" t="s">
        <v>531</v>
      </c>
      <c r="G208" s="5"/>
      <c r="H208" s="5" t="s">
        <v>539</v>
      </c>
      <c r="I208" s="7"/>
      <c r="J208" s="7"/>
      <c r="K208" s="2">
        <v>1</v>
      </c>
      <c r="L208" s="8">
        <v>250</v>
      </c>
      <c r="M208" s="8"/>
      <c r="N208" s="11" t="s">
        <v>44</v>
      </c>
      <c r="O208" s="2"/>
      <c r="P208" s="2"/>
      <c r="Q208" s="2"/>
      <c r="R208" s="2"/>
      <c r="S208" s="2"/>
      <c r="U208" s="9">
        <v>97.8</v>
      </c>
      <c r="X208" s="5" t="s">
        <v>44</v>
      </c>
      <c r="Y208" s="10">
        <f>VLOOKUP(Tabela3[[#This Row],[SISTEMA]],'[1]Resultado Geral'!$D$2:$J$171,7,0)</f>
        <v>1.3850716809756861E-3</v>
      </c>
    </row>
    <row r="209" spans="1:27">
      <c r="A209" s="2">
        <v>72</v>
      </c>
      <c r="B209" s="2" t="str">
        <f>VLOOKUP(Tabela3[[#This Row],[COORDENAÇÃO]],[1]Mun!$D$1:$F$137,3,FALSE)</f>
        <v>Lote 2</v>
      </c>
      <c r="C209" s="5" t="str">
        <f>VLOOKUP(Tabela3[[#This Row],[COORDENAÇÃO]],[1]Mun!$D$1:$E$137,2,FALSE)</f>
        <v>GPR Agreste</v>
      </c>
      <c r="D209" s="5" t="s">
        <v>27</v>
      </c>
      <c r="E209" s="5" t="s">
        <v>540</v>
      </c>
      <c r="F209" s="6" t="s">
        <v>541</v>
      </c>
      <c r="G209" s="5"/>
      <c r="H209" s="5" t="s">
        <v>542</v>
      </c>
      <c r="I209" s="7">
        <v>-8.8020899999999997</v>
      </c>
      <c r="J209" s="7">
        <v>-36.158200000000001</v>
      </c>
      <c r="K209" s="2">
        <v>1</v>
      </c>
      <c r="L209" s="8">
        <v>250</v>
      </c>
      <c r="M209" s="8"/>
      <c r="N209" s="11" t="s">
        <v>44</v>
      </c>
      <c r="O209" s="2"/>
      <c r="P209" s="2"/>
      <c r="Q209" s="2" t="s">
        <v>44</v>
      </c>
      <c r="R209" s="2"/>
      <c r="S209" s="2"/>
      <c r="U209" s="9">
        <v>66.2</v>
      </c>
      <c r="V209" s="5" t="s">
        <v>33</v>
      </c>
      <c r="X209" s="5" t="s">
        <v>44</v>
      </c>
      <c r="Y209" s="10">
        <f>VLOOKUP(Tabela3[[#This Row],[SISTEMA]],'[1]Resultado Geral'!$D$2:$J$171,7,0)</f>
        <v>3.3318544964423577E-3</v>
      </c>
    </row>
    <row r="210" spans="1:27">
      <c r="A210" s="2">
        <v>152</v>
      </c>
      <c r="B210" s="2" t="str">
        <f>VLOOKUP(Tabela3[[#This Row],[COORDENAÇÃO]],[1]Mun!$D$1:$F$137,3,FALSE)</f>
        <v>Lote 2</v>
      </c>
      <c r="C210" s="5" t="str">
        <f>VLOOKUP(Tabela3[[#This Row],[COORDENAÇÃO]],[1]Mun!$D$1:$E$137,2,FALSE)</f>
        <v>GPR Agreste</v>
      </c>
      <c r="D210" s="5" t="s">
        <v>210</v>
      </c>
      <c r="E210" s="5" t="s">
        <v>543</v>
      </c>
      <c r="F210" s="6" t="s">
        <v>544</v>
      </c>
      <c r="G210" s="5"/>
      <c r="H210" s="5" t="s">
        <v>545</v>
      </c>
      <c r="I210" s="7"/>
      <c r="J210" s="7"/>
      <c r="K210" s="2">
        <v>1</v>
      </c>
      <c r="L210" s="8">
        <v>250</v>
      </c>
      <c r="M210" s="8"/>
      <c r="N210" s="11" t="s">
        <v>44</v>
      </c>
      <c r="O210" s="2"/>
      <c r="P210" s="2"/>
      <c r="Q210" s="2"/>
      <c r="R210" s="2"/>
      <c r="S210" s="2"/>
      <c r="U210" s="9">
        <v>75.7</v>
      </c>
      <c r="X210" s="5" t="s">
        <v>44</v>
      </c>
      <c r="Y210" s="10">
        <f>VLOOKUP(Tabela3[[#This Row],[SISTEMA]],'[1]Resultado Geral'!$D$2:$J$171,7,0)</f>
        <v>1.0718268685477659E-3</v>
      </c>
    </row>
    <row r="211" spans="1:27" ht="14.5" customHeight="1">
      <c r="A211" s="2">
        <v>26</v>
      </c>
      <c r="B211" s="2" t="str">
        <f>VLOOKUP(Tabela3[[#This Row],[COORDENAÇÃO]],[1]Mun!$D$1:$F$137,3,FALSE)</f>
        <v>Lote 2</v>
      </c>
      <c r="C211" s="5" t="str">
        <f>VLOOKUP(Tabela3[[#This Row],[COORDENAÇÃO]],[1]Mun!$D$1:$E$137,2,FALSE)</f>
        <v>GPR Agreste</v>
      </c>
      <c r="D211" s="5" t="s">
        <v>210</v>
      </c>
      <c r="E211" s="5" t="s">
        <v>523</v>
      </c>
      <c r="F211" s="6" t="s">
        <v>546</v>
      </c>
      <c r="G211" s="5"/>
      <c r="H211" s="5" t="s">
        <v>525</v>
      </c>
      <c r="I211" s="7"/>
      <c r="J211" s="7"/>
      <c r="K211" s="2">
        <v>1</v>
      </c>
      <c r="L211" s="8">
        <v>250</v>
      </c>
      <c r="M211" s="8"/>
      <c r="N211" s="11" t="s">
        <v>44</v>
      </c>
      <c r="O211" s="2"/>
      <c r="P211" s="2"/>
      <c r="Q211" s="2" t="s">
        <v>99</v>
      </c>
      <c r="R211" s="2"/>
      <c r="S211" s="2"/>
      <c r="U211" s="9">
        <v>55.8</v>
      </c>
      <c r="V211" s="5" t="s">
        <v>33</v>
      </c>
      <c r="W211" s="5" t="s">
        <v>32</v>
      </c>
      <c r="X211" s="5" t="s">
        <v>44</v>
      </c>
      <c r="Y211" s="10">
        <f>VLOOKUP(Tabela3[[#This Row],[SISTEMA]],'[1]Resultado Geral'!$D$2:$J$171,7,0)</f>
        <v>1.0976965448652742E-2</v>
      </c>
    </row>
    <row r="212" spans="1:27" ht="14.5" customHeight="1">
      <c r="A212" s="2">
        <v>147</v>
      </c>
      <c r="B212" s="2" t="str">
        <f>VLOOKUP(Tabela3[[#This Row],[COORDENAÇÃO]],[1]Mun!$D$1:$F$137,3,FALSE)</f>
        <v>Lote 2</v>
      </c>
      <c r="C212" s="5" t="str">
        <f>VLOOKUP(Tabela3[[#This Row],[COORDENAÇÃO]],[1]Mun!$D$1:$E$137,2,FALSE)</f>
        <v>GPR Agreste</v>
      </c>
      <c r="D212" s="5" t="s">
        <v>210</v>
      </c>
      <c r="E212" s="5" t="s">
        <v>547</v>
      </c>
      <c r="F212" s="6" t="s">
        <v>548</v>
      </c>
      <c r="G212" s="5"/>
      <c r="H212" s="5" t="s">
        <v>549</v>
      </c>
      <c r="I212" s="7"/>
      <c r="J212" s="7"/>
      <c r="K212" s="2">
        <v>1</v>
      </c>
      <c r="L212" s="8">
        <v>250</v>
      </c>
      <c r="M212" s="8"/>
      <c r="N212" s="11" t="s">
        <v>44</v>
      </c>
      <c r="O212" s="2"/>
      <c r="P212" s="2"/>
      <c r="Q212" s="2"/>
      <c r="R212" s="2"/>
      <c r="S212" s="2"/>
      <c r="U212" s="9">
        <v>49.6</v>
      </c>
      <c r="X212" s="5" t="s">
        <v>44</v>
      </c>
      <c r="Y212" s="10">
        <f>VLOOKUP(Tabela3[[#This Row],[SISTEMA]],'[1]Resultado Geral'!$D$2:$J$171,7,0)</f>
        <v>1.168992411611571E-3</v>
      </c>
    </row>
    <row r="213" spans="1:27" ht="14.5" customHeight="1">
      <c r="A213" s="2">
        <v>142</v>
      </c>
      <c r="B213" s="2" t="str">
        <f>VLOOKUP(Tabela3[[#This Row],[COORDENAÇÃO]],[1]Mun!$D$1:$F$137,3,FALSE)</f>
        <v>Lote 2</v>
      </c>
      <c r="C213" s="5" t="str">
        <f>VLOOKUP(Tabela3[[#This Row],[COORDENAÇÃO]],[1]Mun!$D$1:$E$137,2,FALSE)</f>
        <v>GPR Agreste</v>
      </c>
      <c r="D213" s="5" t="s">
        <v>210</v>
      </c>
      <c r="E213" s="5" t="s">
        <v>550</v>
      </c>
      <c r="F213" s="6" t="s">
        <v>551</v>
      </c>
      <c r="G213" s="5"/>
      <c r="H213" s="5" t="s">
        <v>552</v>
      </c>
      <c r="I213" s="7"/>
      <c r="J213" s="7"/>
      <c r="K213" s="2">
        <v>1</v>
      </c>
      <c r="L213" s="8">
        <v>250</v>
      </c>
      <c r="M213" s="8"/>
      <c r="N213" s="11" t="s">
        <v>44</v>
      </c>
      <c r="O213" s="2"/>
      <c r="P213" s="2"/>
      <c r="Q213" s="2"/>
      <c r="R213" s="2"/>
      <c r="S213" s="2"/>
      <c r="U213" s="9">
        <v>59.7</v>
      </c>
      <c r="X213" s="5" t="s">
        <v>44</v>
      </c>
      <c r="Y213" s="10">
        <f>VLOOKUP(Tabela3[[#This Row],[SISTEMA]],'[1]Resultado Geral'!$D$2:$J$171,7,0)</f>
        <v>1.0500152598964126E-3</v>
      </c>
    </row>
    <row r="214" spans="1:27" ht="14.5" customHeight="1">
      <c r="A214" s="2">
        <v>163</v>
      </c>
      <c r="B214" s="2" t="str">
        <f>VLOOKUP(Tabela3[[#This Row],[COORDENAÇÃO]],[1]Mun!$D$1:$F$137,3,FALSE)</f>
        <v>Lote 2</v>
      </c>
      <c r="C214" s="5" t="str">
        <f>VLOOKUP(Tabela3[[#This Row],[COORDENAÇÃO]],[1]Mun!$D$1:$E$137,2,FALSE)</f>
        <v>GPR Agreste</v>
      </c>
      <c r="D214" s="5" t="s">
        <v>210</v>
      </c>
      <c r="E214" s="5" t="s">
        <v>553</v>
      </c>
      <c r="F214" s="6" t="s">
        <v>554</v>
      </c>
      <c r="G214" s="5"/>
      <c r="H214" s="5" t="s">
        <v>555</v>
      </c>
      <c r="I214" s="7"/>
      <c r="J214" s="7"/>
      <c r="K214" s="2">
        <v>1</v>
      </c>
      <c r="L214" s="8">
        <v>250</v>
      </c>
      <c r="M214" s="8"/>
      <c r="N214" s="14" t="s">
        <v>44</v>
      </c>
      <c r="O214" s="16"/>
      <c r="P214" s="16"/>
      <c r="Q214" s="16"/>
      <c r="R214" s="16"/>
      <c r="S214" s="16"/>
      <c r="U214" s="9">
        <v>70.599999999999994</v>
      </c>
      <c r="X214" s="5" t="s">
        <v>44</v>
      </c>
      <c r="Y214" s="10">
        <f>VLOOKUP(Tabela3[[#This Row],[SISTEMA]],'[1]Resultado Geral'!$D$2:$J$171,7,0)</f>
        <v>8.2191460363212614E-4</v>
      </c>
    </row>
    <row r="215" spans="1:27" ht="14.5" customHeight="1">
      <c r="A215" s="2">
        <v>233</v>
      </c>
      <c r="B215" s="2" t="str">
        <f>VLOOKUP(Tabela3[[#This Row],[COORDENAÇÃO]],[1]Mun!$D$1:$F$137,3,FALSE)</f>
        <v>Lote 3</v>
      </c>
      <c r="C215" s="5" t="str">
        <f>VLOOKUP(Tabela3[[#This Row],[COORDENAÇÃO]],[1]Mun!$D$1:$E$137,2,FALSE)</f>
        <v>GPR SERTAO</v>
      </c>
      <c r="D215" s="5" t="s">
        <v>34</v>
      </c>
      <c r="E215" s="5" t="s">
        <v>556</v>
      </c>
      <c r="F215" s="6" t="s">
        <v>557</v>
      </c>
      <c r="G215" s="5"/>
      <c r="H215" s="5" t="s">
        <v>38</v>
      </c>
      <c r="I215" s="7">
        <v>-8.0621170000000006</v>
      </c>
      <c r="J215" s="7">
        <v>-37.354404000000002</v>
      </c>
      <c r="K215" s="2" t="s">
        <v>39</v>
      </c>
      <c r="L215" s="8" t="s">
        <v>39</v>
      </c>
      <c r="M215" s="8"/>
      <c r="N215" s="16" t="s">
        <v>39</v>
      </c>
      <c r="O215" s="16"/>
      <c r="P215" s="16"/>
      <c r="Q215" s="16"/>
      <c r="R215" s="16"/>
      <c r="S215" s="16"/>
      <c r="U215" s="9">
        <v>172.3</v>
      </c>
      <c r="X215" s="5" t="s">
        <v>44</v>
      </c>
      <c r="Y215" s="10">
        <f>VLOOKUP(Tabela3[[#This Row],[SISTEMA]],'[1]Resultado Geral'!$D$2:$J$171,7,0)</f>
        <v>2.2279547267565922E-4</v>
      </c>
    </row>
    <row r="216" spans="1:27" ht="14.5" customHeight="1">
      <c r="A216" s="2">
        <v>20</v>
      </c>
      <c r="B216" s="2" t="str">
        <f>VLOOKUP(Tabela3[[#This Row],[COORDENAÇÃO]],[1]Mun!$D$1:$F$137,3,FALSE)</f>
        <v>Lote 1</v>
      </c>
      <c r="C216" s="5" t="str">
        <f>VLOOKUP(Tabela3[[#This Row],[COORDENAÇÃO]],[1]Mun!$D$1:$E$137,2,FALSE)</f>
        <v>GPM</v>
      </c>
      <c r="D216" s="5" t="s">
        <v>422</v>
      </c>
      <c r="E216" s="5" t="s">
        <v>423</v>
      </c>
      <c r="F216" s="6" t="s">
        <v>498</v>
      </c>
      <c r="G216" s="5"/>
      <c r="H216" s="5" t="s">
        <v>558</v>
      </c>
      <c r="I216" s="7">
        <v>-8.3713499999999996</v>
      </c>
      <c r="J216" s="7">
        <v>-35.045639999999999</v>
      </c>
      <c r="K216" s="2">
        <v>1</v>
      </c>
      <c r="L216" s="8">
        <v>600</v>
      </c>
      <c r="M216" s="8"/>
      <c r="N216" s="2" t="s">
        <v>32</v>
      </c>
      <c r="O216" s="34" t="s">
        <v>273</v>
      </c>
      <c r="P216" s="34"/>
      <c r="Q216" s="2" t="s">
        <v>44</v>
      </c>
      <c r="R216" s="2"/>
      <c r="S216" s="2"/>
      <c r="U216" s="9">
        <v>50.6</v>
      </c>
      <c r="V216" s="5" t="s">
        <v>33</v>
      </c>
      <c r="W216" s="5" t="s">
        <v>32</v>
      </c>
      <c r="X216" s="5" t="s">
        <v>44</v>
      </c>
      <c r="Y216" s="10">
        <f>VLOOKUP(Tabela3[[#This Row],[SISTEMA]],'[1]Resultado Geral'!$D$2:$J$171,7,0)</f>
        <v>1.654742450373152E-2</v>
      </c>
      <c r="AA216" s="5" t="s">
        <v>500</v>
      </c>
    </row>
    <row r="217" spans="1:27" ht="14.5" customHeight="1">
      <c r="A217" s="2">
        <v>21</v>
      </c>
      <c r="B217" s="2" t="str">
        <f>VLOOKUP(Tabela3[[#This Row],[COORDENAÇÃO]],[1]Mun!$D$1:$F$137,3,FALSE)</f>
        <v>Lote 1</v>
      </c>
      <c r="C217" s="5" t="str">
        <f>VLOOKUP(Tabela3[[#This Row],[COORDENAÇÃO]],[1]Mun!$D$1:$E$137,2,FALSE)</f>
        <v>GPM</v>
      </c>
      <c r="D217" s="5" t="s">
        <v>422</v>
      </c>
      <c r="E217" s="5" t="s">
        <v>423</v>
      </c>
      <c r="F217" s="6" t="s">
        <v>498</v>
      </c>
      <c r="G217" s="5"/>
      <c r="H217" s="5" t="s">
        <v>559</v>
      </c>
      <c r="I217" s="7">
        <v>-8.3713499999999996</v>
      </c>
      <c r="J217" s="7">
        <v>-35.045639999999999</v>
      </c>
      <c r="K217" s="2">
        <v>1</v>
      </c>
      <c r="L217" s="8">
        <v>600</v>
      </c>
      <c r="M217" s="8"/>
      <c r="N217" s="33" t="s">
        <v>32</v>
      </c>
      <c r="O217" s="34" t="s">
        <v>273</v>
      </c>
      <c r="P217" s="34"/>
      <c r="Q217" s="32" t="s">
        <v>44</v>
      </c>
      <c r="R217" s="32"/>
      <c r="S217" s="32"/>
      <c r="U217" s="9">
        <v>50.6</v>
      </c>
      <c r="V217" s="5" t="s">
        <v>33</v>
      </c>
      <c r="W217" s="5" t="s">
        <v>32</v>
      </c>
      <c r="X217" s="5" t="s">
        <v>44</v>
      </c>
      <c r="Y217" s="10">
        <f>VLOOKUP(Tabela3[[#This Row],[SISTEMA]],'[1]Resultado Geral'!$D$2:$J$171,7,0)</f>
        <v>1.654742450373152E-2</v>
      </c>
      <c r="AA217" s="5" t="s">
        <v>500</v>
      </c>
    </row>
    <row r="218" spans="1:27" ht="14.5" customHeight="1">
      <c r="A218" s="2">
        <v>131</v>
      </c>
      <c r="B218" s="2" t="str">
        <f>VLOOKUP(Tabela3[[#This Row],[COORDENAÇÃO]],[1]Mun!$D$1:$F$137,3,FALSE)</f>
        <v>Lote 2</v>
      </c>
      <c r="C218" s="5" t="str">
        <f>VLOOKUP(Tabela3[[#This Row],[COORDENAÇÃO]],[1]Mun!$D$1:$E$137,2,FALSE)</f>
        <v>GPR Agreste</v>
      </c>
      <c r="D218" s="5" t="s">
        <v>206</v>
      </c>
      <c r="E218" s="5" t="s">
        <v>560</v>
      </c>
      <c r="F218" s="6" t="s">
        <v>561</v>
      </c>
      <c r="G218" s="5"/>
      <c r="H218" s="5" t="s">
        <v>272</v>
      </c>
      <c r="I218" s="7">
        <v>-7.9648500000000002</v>
      </c>
      <c r="J218" s="7">
        <v>-35.738700000000001</v>
      </c>
      <c r="K218" s="2" t="s">
        <v>39</v>
      </c>
      <c r="L218" s="8" t="s">
        <v>39</v>
      </c>
      <c r="M218" s="8"/>
      <c r="N218" s="2" t="s">
        <v>39</v>
      </c>
      <c r="O218" s="2"/>
      <c r="P218" s="2"/>
      <c r="Q218" s="2"/>
      <c r="R218" s="2"/>
      <c r="S218" s="2"/>
      <c r="U218" s="9">
        <v>24.9</v>
      </c>
      <c r="V218" s="5" t="s">
        <v>33</v>
      </c>
      <c r="X218" s="5" t="s">
        <v>32</v>
      </c>
      <c r="Y218" s="10">
        <f>VLOOKUP(Tabela3[[#This Row],[SISTEMA]],'[1]Resultado Geral'!$D$2:$J$171,7,0)</f>
        <v>1.018116504588811E-3</v>
      </c>
    </row>
    <row r="219" spans="1:27" ht="14.5" customHeight="1">
      <c r="A219" s="2">
        <v>276</v>
      </c>
      <c r="B219" s="2" t="str">
        <f>VLOOKUP(Tabela3[[#This Row],[COORDENAÇÃO]],[1]Mun!$D$1:$F$137,3,FALSE)</f>
        <v>Lote 2</v>
      </c>
      <c r="C219" s="5" t="str">
        <f>VLOOKUP(Tabela3[[#This Row],[COORDENAÇÃO]],[1]Mun!$D$1:$E$137,2,FALSE)</f>
        <v>GPR Agreste</v>
      </c>
      <c r="D219" s="5" t="s">
        <v>210</v>
      </c>
      <c r="E219" s="5" t="s">
        <v>267</v>
      </c>
      <c r="F219" s="12" t="s">
        <v>562</v>
      </c>
      <c r="G219" s="5"/>
      <c r="H219" s="5"/>
      <c r="I219" s="7"/>
      <c r="J219" s="7"/>
      <c r="K219" s="2"/>
      <c r="L219" s="13"/>
      <c r="M219" s="13"/>
      <c r="N219" s="14"/>
      <c r="O219" s="15"/>
      <c r="P219" s="16"/>
      <c r="Q219" s="16"/>
      <c r="R219" s="16"/>
      <c r="S219" s="16"/>
      <c r="U219" s="9">
        <v>63.8</v>
      </c>
      <c r="Y219" s="10" t="e">
        <f>VLOOKUP(Tabela3[[#This Row],[SISTEMA]],'[1]Resultado Geral'!$D$2:$J$171,7,0)</f>
        <v>#N/A</v>
      </c>
    </row>
    <row r="220" spans="1:27" ht="14.5" customHeight="1">
      <c r="A220" s="2">
        <v>248</v>
      </c>
      <c r="B220" s="2" t="str">
        <f>VLOOKUP(Tabela3[[#This Row],[COORDENAÇÃO]],[1]Mun!$D$1:$F$137,3,FALSE)</f>
        <v>Lote 2</v>
      </c>
      <c r="C220" s="5" t="str">
        <f>VLOOKUP(Tabela3[[#This Row],[COORDENAÇÃO]],[1]Mun!$D$1:$E$137,2,FALSE)</f>
        <v>GPR Agreste</v>
      </c>
      <c r="D220" s="5" t="s">
        <v>210</v>
      </c>
      <c r="E220" s="5" t="s">
        <v>550</v>
      </c>
      <c r="F220" s="17" t="s">
        <v>563</v>
      </c>
      <c r="G220" s="5"/>
      <c r="H220" s="5"/>
      <c r="I220" s="7"/>
      <c r="J220" s="7"/>
      <c r="K220" s="2"/>
      <c r="L220" s="13"/>
      <c r="M220" s="13"/>
      <c r="N220" s="14"/>
      <c r="O220" s="16"/>
      <c r="P220" s="16"/>
      <c r="Q220" s="16"/>
      <c r="R220" s="16"/>
      <c r="S220" s="16"/>
      <c r="U220" s="9">
        <v>59.7</v>
      </c>
      <c r="Y220" s="10" t="e">
        <f>VLOOKUP(Tabela3[[#This Row],[SISTEMA]],'[1]Resultado Geral'!$D$2:$J$171,7,0)</f>
        <v>#N/A</v>
      </c>
    </row>
    <row r="221" spans="1:27" ht="14.5" customHeight="1">
      <c r="A221" s="2">
        <v>104</v>
      </c>
      <c r="B221" s="2" t="str">
        <f>VLOOKUP(Tabela3[[#This Row],[COORDENAÇÃO]],[1]Mun!$D$1:$F$137,3,FALSE)</f>
        <v>Lote 3</v>
      </c>
      <c r="C221" s="5" t="str">
        <f>VLOOKUP(Tabela3[[#This Row],[COORDENAÇÃO]],[1]Mun!$D$1:$E$137,2,FALSE)</f>
        <v>GPR SERTAO</v>
      </c>
      <c r="D221" s="5" t="s">
        <v>53</v>
      </c>
      <c r="E221" s="5" t="s">
        <v>214</v>
      </c>
      <c r="F221" s="6" t="s">
        <v>215</v>
      </c>
      <c r="G221" s="5"/>
      <c r="H221" s="5" t="s">
        <v>564</v>
      </c>
      <c r="I221" s="7"/>
      <c r="J221" s="7"/>
      <c r="K221" s="2">
        <v>1</v>
      </c>
      <c r="L221" s="8">
        <v>150</v>
      </c>
      <c r="M221" s="8"/>
      <c r="N221" s="11" t="s">
        <v>44</v>
      </c>
      <c r="O221" s="2"/>
      <c r="P221" s="2"/>
      <c r="Q221" s="2"/>
      <c r="R221" s="2"/>
      <c r="S221" s="2"/>
      <c r="U221" s="9">
        <v>371.2</v>
      </c>
      <c r="X221" s="5" t="s">
        <v>44</v>
      </c>
      <c r="Y221" s="10">
        <f>VLOOKUP(Tabela3[[#This Row],[SISTEMA]],'[1]Resultado Geral'!$D$2:$J$171,7,0)</f>
        <v>1.1767372028853923E-3</v>
      </c>
    </row>
    <row r="222" spans="1:27" ht="14.5" customHeight="1">
      <c r="A222" s="2">
        <v>232</v>
      </c>
      <c r="B222" s="2" t="str">
        <f>VLOOKUP(Tabela3[[#This Row],[COORDENAÇÃO]],[1]Mun!$D$1:$F$137,3,FALSE)</f>
        <v>Lote 3</v>
      </c>
      <c r="C222" s="5" t="str">
        <f>VLOOKUP(Tabela3[[#This Row],[COORDENAÇÃO]],[1]Mun!$D$1:$E$137,2,FALSE)</f>
        <v>GPR SERTAO</v>
      </c>
      <c r="D222" s="5" t="s">
        <v>230</v>
      </c>
      <c r="E222" s="5" t="s">
        <v>231</v>
      </c>
      <c r="F222" s="6" t="s">
        <v>565</v>
      </c>
      <c r="G222" s="5"/>
      <c r="H222" s="5" t="s">
        <v>566</v>
      </c>
      <c r="I222" s="7"/>
      <c r="J222" s="7"/>
      <c r="K222" s="2">
        <v>1</v>
      </c>
      <c r="L222" s="8">
        <v>100</v>
      </c>
      <c r="M222" s="8"/>
      <c r="N222" s="14" t="s">
        <v>44</v>
      </c>
      <c r="O222" s="16"/>
      <c r="P222" s="16"/>
      <c r="Q222" s="16"/>
      <c r="R222" s="16"/>
      <c r="S222" s="16"/>
      <c r="U222" s="9">
        <v>171.9</v>
      </c>
      <c r="W222" s="5" t="s">
        <v>32</v>
      </c>
      <c r="X222" s="5" t="s">
        <v>44</v>
      </c>
      <c r="Y222" s="10">
        <f>VLOOKUP(Tabela3[[#This Row],[SISTEMA]],'[1]Resultado Geral'!$D$2:$J$171,7,0)</f>
        <v>3.8838278721796289E-6</v>
      </c>
    </row>
    <row r="223" spans="1:27" ht="14.5" customHeight="1">
      <c r="A223" s="2">
        <v>159</v>
      </c>
      <c r="B223" s="2" t="str">
        <f>VLOOKUP(Tabela3[[#This Row],[COORDENAÇÃO]],[1]Mun!$D$1:$F$137,3,FALSE)</f>
        <v>Lote 3</v>
      </c>
      <c r="C223" s="5" t="str">
        <f>VLOOKUP(Tabela3[[#This Row],[COORDENAÇÃO]],[1]Mun!$D$1:$E$137,2,FALSE)</f>
        <v>GPR SERTAO</v>
      </c>
      <c r="D223" s="5" t="s">
        <v>230</v>
      </c>
      <c r="E223" s="5" t="s">
        <v>231</v>
      </c>
      <c r="F223" s="6" t="s">
        <v>567</v>
      </c>
      <c r="G223" s="5"/>
      <c r="H223" s="5" t="s">
        <v>568</v>
      </c>
      <c r="I223" s="7"/>
      <c r="J223" s="7"/>
      <c r="K223" s="2">
        <v>1</v>
      </c>
      <c r="L223" s="8">
        <v>300</v>
      </c>
      <c r="M223" s="8"/>
      <c r="N223" s="11" t="s">
        <v>44</v>
      </c>
      <c r="O223" s="2"/>
      <c r="P223" s="2"/>
      <c r="Q223" s="2"/>
      <c r="R223" s="2"/>
      <c r="S223" s="2"/>
      <c r="U223" s="9">
        <v>171.9</v>
      </c>
      <c r="W223" s="5" t="s">
        <v>32</v>
      </c>
      <c r="X223" s="5" t="s">
        <v>44</v>
      </c>
      <c r="Y223" s="10">
        <f>VLOOKUP(Tabela3[[#This Row],[SISTEMA]],'[1]Resultado Geral'!$D$2:$J$171,7,0)</f>
        <v>8.8025079451400229E-4</v>
      </c>
    </row>
    <row r="224" spans="1:27" ht="14.5" customHeight="1">
      <c r="A224" s="2">
        <v>251</v>
      </c>
      <c r="B224" s="2" t="str">
        <f>VLOOKUP(Tabela3[[#This Row],[COORDENAÇÃO]],[1]Mun!$D$1:$F$137,3,FALSE)</f>
        <v>Lote 3</v>
      </c>
      <c r="C224" s="5" t="str">
        <f>VLOOKUP(Tabela3[[#This Row],[COORDENAÇÃO]],[1]Mun!$D$1:$E$137,2,FALSE)</f>
        <v>GPR SERTAO</v>
      </c>
      <c r="D224" s="5" t="s">
        <v>230</v>
      </c>
      <c r="E224" s="5" t="s">
        <v>231</v>
      </c>
      <c r="F224" s="17" t="s">
        <v>569</v>
      </c>
      <c r="G224" s="5"/>
      <c r="H224" s="5"/>
      <c r="I224" s="7"/>
      <c r="J224" s="7"/>
      <c r="K224" s="2"/>
      <c r="L224" s="13"/>
      <c r="M224" s="13"/>
      <c r="N224" s="14"/>
      <c r="O224" s="16"/>
      <c r="P224" s="16"/>
      <c r="Q224" s="16"/>
      <c r="R224" s="16"/>
      <c r="S224" s="16"/>
      <c r="U224" s="9">
        <v>171.9</v>
      </c>
      <c r="Y224" s="10" t="e">
        <f>VLOOKUP(Tabela3[[#This Row],[SISTEMA]],'[1]Resultado Geral'!$D$2:$J$171,7,0)</f>
        <v>#N/A</v>
      </c>
    </row>
    <row r="225" spans="1:25" ht="14.5" customHeight="1">
      <c r="A225" s="2">
        <v>164</v>
      </c>
      <c r="B225" s="2" t="str">
        <f>VLOOKUP(Tabela3[[#This Row],[COORDENAÇÃO]],[1]Mun!$D$1:$F$137,3,FALSE)</f>
        <v>Lote 2</v>
      </c>
      <c r="C225" s="5" t="str">
        <f>VLOOKUP(Tabela3[[#This Row],[COORDENAÇÃO]],[1]Mun!$D$1:$E$137,2,FALSE)</f>
        <v>GPR Agreste</v>
      </c>
      <c r="D225" s="5" t="s">
        <v>210</v>
      </c>
      <c r="E225" s="5" t="s">
        <v>553</v>
      </c>
      <c r="F225" s="6" t="s">
        <v>554</v>
      </c>
      <c r="G225" s="5"/>
      <c r="H225" s="5" t="s">
        <v>570</v>
      </c>
      <c r="I225" s="7"/>
      <c r="J225" s="7"/>
      <c r="K225" s="2">
        <v>1</v>
      </c>
      <c r="L225" s="8">
        <v>250</v>
      </c>
      <c r="M225" s="8"/>
      <c r="N225" s="14" t="s">
        <v>44</v>
      </c>
      <c r="O225" s="16"/>
      <c r="P225" s="16"/>
      <c r="Q225" s="16"/>
      <c r="R225" s="16"/>
      <c r="S225" s="16"/>
      <c r="U225" s="9">
        <v>70.599999999999994</v>
      </c>
      <c r="X225" s="5" t="s">
        <v>44</v>
      </c>
      <c r="Y225" s="10">
        <f>VLOOKUP(Tabela3[[#This Row],[SISTEMA]],'[1]Resultado Geral'!$D$2:$J$171,7,0)</f>
        <v>8.2191460363212614E-4</v>
      </c>
    </row>
    <row r="226" spans="1:25" ht="14.5" customHeight="1">
      <c r="A226" s="2">
        <v>264</v>
      </c>
      <c r="B226" s="2" t="str">
        <f>VLOOKUP(Tabela3[[#This Row],[COORDENAÇÃO]],[1]Mun!$D$1:$F$137,3,FALSE)</f>
        <v>Lote 3</v>
      </c>
      <c r="C226" s="5" t="str">
        <f>VLOOKUP(Tabela3[[#This Row],[COORDENAÇÃO]],[1]Mun!$D$1:$E$137,2,FALSE)</f>
        <v>GPR SERTAO</v>
      </c>
      <c r="D226" s="5" t="s">
        <v>230</v>
      </c>
      <c r="E226" s="5" t="s">
        <v>231</v>
      </c>
      <c r="F226" s="12" t="s">
        <v>571</v>
      </c>
      <c r="G226" s="5"/>
      <c r="H226" s="5"/>
      <c r="I226" s="7"/>
      <c r="J226" s="7"/>
      <c r="K226" s="8"/>
      <c r="L226" s="13"/>
      <c r="M226" s="13"/>
      <c r="N226" s="11"/>
      <c r="O226" s="2"/>
      <c r="P226" s="16"/>
      <c r="Q226" s="2"/>
      <c r="R226" s="2"/>
      <c r="S226" s="2"/>
      <c r="U226" s="9">
        <v>171.9</v>
      </c>
      <c r="Y226" s="10" t="e">
        <f>VLOOKUP(Tabela3[[#This Row],[SISTEMA]],'[1]Resultado Geral'!$D$2:$J$171,7,0)</f>
        <v>#N/A</v>
      </c>
    </row>
    <row r="227" spans="1:25" ht="14.5" customHeight="1">
      <c r="A227" s="2">
        <v>106</v>
      </c>
      <c r="B227" s="2" t="str">
        <f>VLOOKUP(Tabela3[[#This Row],[COORDENAÇÃO]],[1]Mun!$D$1:$F$137,3,FALSE)</f>
        <v>Lote 2</v>
      </c>
      <c r="C227" s="5" t="str">
        <f>VLOOKUP(Tabela3[[#This Row],[COORDENAÇÃO]],[1]Mun!$D$1:$E$137,2,FALSE)</f>
        <v>GPR Agreste</v>
      </c>
      <c r="D227" s="5" t="s">
        <v>206</v>
      </c>
      <c r="E227" s="5" t="s">
        <v>228</v>
      </c>
      <c r="F227" s="6" t="s">
        <v>520</v>
      </c>
      <c r="G227" s="5"/>
      <c r="H227" s="5" t="s">
        <v>572</v>
      </c>
      <c r="I227" s="7"/>
      <c r="J227" s="7"/>
      <c r="K227" s="2">
        <v>1</v>
      </c>
      <c r="L227" s="8">
        <v>300</v>
      </c>
      <c r="M227" s="8" t="s">
        <v>522</v>
      </c>
      <c r="N227" s="11" t="s">
        <v>44</v>
      </c>
      <c r="O227" s="2"/>
      <c r="P227" s="2"/>
      <c r="Q227" s="2" t="s">
        <v>44</v>
      </c>
      <c r="R227" s="2"/>
      <c r="S227" s="2"/>
      <c r="U227" s="9">
        <v>23.5</v>
      </c>
      <c r="X227" s="5" t="s">
        <v>44</v>
      </c>
      <c r="Y227" s="10">
        <f>VLOOKUP(Tabela3[[#This Row],[SISTEMA]],'[1]Resultado Geral'!$D$2:$J$171,7,0)</f>
        <v>2.0475133366628273E-3</v>
      </c>
    </row>
    <row r="228" spans="1:25" ht="14.5" customHeight="1">
      <c r="A228" s="2">
        <v>93</v>
      </c>
      <c r="B228" s="2" t="str">
        <f>VLOOKUP(Tabela3[[#This Row],[COORDENAÇÃO]],[1]Mun!$D$1:$F$137,3,FALSE)</f>
        <v>Lote 2</v>
      </c>
      <c r="C228" s="5" t="str">
        <f>VLOOKUP(Tabela3[[#This Row],[COORDENAÇÃO]],[1]Mun!$D$1:$E$137,2,FALSE)</f>
        <v>GPR Agreste</v>
      </c>
      <c r="D228" s="5" t="s">
        <v>77</v>
      </c>
      <c r="E228" s="5" t="s">
        <v>295</v>
      </c>
      <c r="F228" s="6" t="s">
        <v>573</v>
      </c>
      <c r="G228" s="5" t="s">
        <v>80</v>
      </c>
      <c r="H228" s="5" t="s">
        <v>574</v>
      </c>
      <c r="I228" s="7"/>
      <c r="J228" s="7"/>
      <c r="K228" s="2">
        <v>1</v>
      </c>
      <c r="L228" s="8">
        <v>300</v>
      </c>
      <c r="M228" s="8"/>
      <c r="N228" s="11" t="s">
        <v>44</v>
      </c>
      <c r="O228" s="2"/>
      <c r="P228" s="2"/>
      <c r="Q228" s="2" t="s">
        <v>99</v>
      </c>
      <c r="R228" s="2"/>
      <c r="S228" s="2"/>
      <c r="U228" s="9">
        <v>56.2</v>
      </c>
      <c r="V228" s="5" t="s">
        <v>33</v>
      </c>
      <c r="X228" s="5" t="s">
        <v>44</v>
      </c>
      <c r="Y228" s="10" t="e">
        <f>VLOOKUP(Tabela3[[#This Row],[SISTEMA]],'[1]Resultado Geral'!$D$2:$J$171,7,0)</f>
        <v>#N/A</v>
      </c>
    </row>
    <row r="229" spans="1:25" ht="14.5" customHeight="1">
      <c r="A229" s="2">
        <v>108</v>
      </c>
      <c r="B229" s="2" t="str">
        <f>VLOOKUP(Tabela3[[#This Row],[COORDENAÇÃO]],[1]Mun!$D$1:$F$137,3,FALSE)</f>
        <v>Lote 2</v>
      </c>
      <c r="C229" s="5" t="str">
        <f>VLOOKUP(Tabela3[[#This Row],[COORDENAÇÃO]],[1]Mun!$D$1:$E$137,2,FALSE)</f>
        <v>GPR Agreste</v>
      </c>
      <c r="D229" s="5" t="s">
        <v>206</v>
      </c>
      <c r="E229" s="5" t="s">
        <v>228</v>
      </c>
      <c r="F229" s="6" t="s">
        <v>520</v>
      </c>
      <c r="G229" s="5"/>
      <c r="H229" s="5" t="s">
        <v>243</v>
      </c>
      <c r="I229" s="7">
        <v>-8.3031570869999296</v>
      </c>
      <c r="J229" s="7">
        <v>-36.044234635000002</v>
      </c>
      <c r="K229" s="2">
        <v>1</v>
      </c>
      <c r="L229" s="8">
        <v>300</v>
      </c>
      <c r="M229" s="8" t="s">
        <v>522</v>
      </c>
      <c r="N229" s="11" t="s">
        <v>44</v>
      </c>
      <c r="O229" s="2"/>
      <c r="P229" s="2"/>
      <c r="Q229" s="2" t="s">
        <v>44</v>
      </c>
      <c r="R229" s="2"/>
      <c r="S229" s="2"/>
      <c r="U229" s="9">
        <v>23.5</v>
      </c>
      <c r="X229" s="5" t="s">
        <v>44</v>
      </c>
      <c r="Y229" s="10">
        <f>VLOOKUP(Tabela3[[#This Row],[SISTEMA]],'[1]Resultado Geral'!$D$2:$J$171,7,0)</f>
        <v>2.0475133366628273E-3</v>
      </c>
    </row>
    <row r="230" spans="1:25" ht="14.5" customHeight="1">
      <c r="A230" s="2">
        <v>245</v>
      </c>
      <c r="B230" s="2" t="str">
        <f>VLOOKUP(Tabela3[[#This Row],[COORDENAÇÃO]],[1]Mun!$D$1:$F$137,3,FALSE)</f>
        <v>Lote 2</v>
      </c>
      <c r="C230" s="5" t="str">
        <f>VLOOKUP(Tabela3[[#This Row],[COORDENAÇÃO]],[1]Mun!$D$1:$E$137,2,FALSE)</f>
        <v>GPR Agreste</v>
      </c>
      <c r="D230" s="5" t="s">
        <v>27</v>
      </c>
      <c r="E230" s="5" t="s">
        <v>181</v>
      </c>
      <c r="F230" s="6" t="s">
        <v>575</v>
      </c>
      <c r="G230" s="5"/>
      <c r="H230" s="5" t="s">
        <v>576</v>
      </c>
      <c r="I230" s="7"/>
      <c r="J230" s="7"/>
      <c r="K230" s="2">
        <v>1</v>
      </c>
      <c r="L230" s="8">
        <v>300</v>
      </c>
      <c r="M230" s="8"/>
      <c r="N230" s="14" t="s">
        <v>44</v>
      </c>
      <c r="O230" s="16"/>
      <c r="P230" s="16"/>
      <c r="Q230" s="16"/>
      <c r="R230" s="16"/>
      <c r="S230" s="16"/>
      <c r="U230" s="9">
        <v>85.4</v>
      </c>
      <c r="X230" s="5" t="s">
        <v>44</v>
      </c>
      <c r="Y230" s="10">
        <f>VLOOKUP(Tabela3[[#This Row],[SISTEMA]],'[1]Resultado Geral'!$D$2:$J$171,7,0)</f>
        <v>9.4228554841431652E-4</v>
      </c>
    </row>
    <row r="231" spans="1:25" ht="14.5" customHeight="1">
      <c r="A231" s="2">
        <v>191</v>
      </c>
      <c r="B231" s="2" t="str">
        <f>VLOOKUP(Tabela3[[#This Row],[COORDENAÇÃO]],[1]Mun!$D$1:$F$137,3,FALSE)</f>
        <v>Lote 2</v>
      </c>
      <c r="C231" s="5" t="str">
        <f>VLOOKUP(Tabela3[[#This Row],[COORDENAÇÃO]],[1]Mun!$D$1:$E$137,2,FALSE)</f>
        <v>GPR Agreste</v>
      </c>
      <c r="D231" s="5" t="s">
        <v>27</v>
      </c>
      <c r="E231" s="5" t="s">
        <v>577</v>
      </c>
      <c r="F231" s="6" t="s">
        <v>578</v>
      </c>
      <c r="G231" s="5"/>
      <c r="H231" s="5" t="s">
        <v>252</v>
      </c>
      <c r="I231" s="7">
        <v>-8.3131830000000004</v>
      </c>
      <c r="J231" s="7">
        <v>-36.937334999999997</v>
      </c>
      <c r="K231" s="2" t="s">
        <v>39</v>
      </c>
      <c r="L231" s="8" t="s">
        <v>39</v>
      </c>
      <c r="M231" s="8"/>
      <c r="N231" s="16" t="s">
        <v>39</v>
      </c>
      <c r="O231" s="16"/>
      <c r="P231" s="16"/>
      <c r="Q231" s="16"/>
      <c r="R231" s="16"/>
      <c r="S231" s="16"/>
      <c r="U231" s="9">
        <v>70.099999999999994</v>
      </c>
      <c r="V231" s="5" t="s">
        <v>33</v>
      </c>
      <c r="X231" s="5" t="s">
        <v>44</v>
      </c>
      <c r="Y231" s="10">
        <f>VLOOKUP(Tabela3[[#This Row],[SISTEMA]],'[1]Resultado Geral'!$D$2:$J$171,7,0)</f>
        <v>5.2854042555524521E-4</v>
      </c>
    </row>
    <row r="232" spans="1:25" ht="14.5" customHeight="1">
      <c r="A232" s="2">
        <v>212</v>
      </c>
      <c r="B232" s="2" t="str">
        <f>VLOOKUP(Tabela3[[#This Row],[COORDENAÇÃO]],[1]Mun!$D$1:$F$137,3,FALSE)</f>
        <v>Lote 3</v>
      </c>
      <c r="C232" s="5" t="str">
        <f>VLOOKUP(Tabela3[[#This Row],[COORDENAÇÃO]],[1]Mun!$D$1:$E$137,2,FALSE)</f>
        <v>GPR SERTAO</v>
      </c>
      <c r="D232" s="5" t="s">
        <v>230</v>
      </c>
      <c r="E232" s="5" t="s">
        <v>579</v>
      </c>
      <c r="F232" s="6" t="s">
        <v>580</v>
      </c>
      <c r="G232" s="5"/>
      <c r="H232" s="5" t="s">
        <v>233</v>
      </c>
      <c r="I232" s="7">
        <v>-8.6229999999999993</v>
      </c>
      <c r="J232" s="7">
        <v>-39.598999999999997</v>
      </c>
      <c r="K232" s="2" t="s">
        <v>39</v>
      </c>
      <c r="L232" s="8" t="s">
        <v>39</v>
      </c>
      <c r="M232" s="8"/>
      <c r="N232" s="16" t="s">
        <v>39</v>
      </c>
      <c r="O232" s="16"/>
      <c r="P232" s="16"/>
      <c r="Q232" s="16"/>
      <c r="R232" s="16"/>
      <c r="S232" s="16"/>
      <c r="U232" s="9">
        <v>381.1</v>
      </c>
      <c r="V232" s="5" t="s">
        <v>33</v>
      </c>
      <c r="X232" s="5" t="s">
        <v>32</v>
      </c>
      <c r="Y232" s="10">
        <f>VLOOKUP(Tabela3[[#This Row],[SISTEMA]],'[1]Resultado Geral'!$D$2:$J$171,7,0)</f>
        <v>3.9391097769731533E-4</v>
      </c>
    </row>
    <row r="233" spans="1:25" ht="14.5" customHeight="1">
      <c r="A233" s="2">
        <v>92</v>
      </c>
      <c r="B233" s="2" t="str">
        <f>VLOOKUP(Tabela3[[#This Row],[COORDENAÇÃO]],[1]Mun!$D$1:$F$137,3,FALSE)</f>
        <v>Lote 2</v>
      </c>
      <c r="C233" s="5" t="str">
        <f>VLOOKUP(Tabela3[[#This Row],[COORDENAÇÃO]],[1]Mun!$D$1:$E$137,2,FALSE)</f>
        <v>GPR Agreste</v>
      </c>
      <c r="D233" s="5" t="s">
        <v>77</v>
      </c>
      <c r="E233" s="5" t="s">
        <v>295</v>
      </c>
      <c r="F233" s="6" t="s">
        <v>573</v>
      </c>
      <c r="G233" s="5"/>
      <c r="H233" s="5" t="s">
        <v>289</v>
      </c>
      <c r="I233" s="7">
        <v>-8.24831</v>
      </c>
      <c r="J233" s="7">
        <v>-36.37509</v>
      </c>
      <c r="K233" s="2">
        <v>1</v>
      </c>
      <c r="L233" s="8">
        <v>300</v>
      </c>
      <c r="M233" s="8"/>
      <c r="N233" s="11" t="s">
        <v>44</v>
      </c>
      <c r="O233" s="2"/>
      <c r="P233" s="2"/>
      <c r="Q233" s="2" t="s">
        <v>44</v>
      </c>
      <c r="R233" s="2"/>
      <c r="S233" s="2"/>
      <c r="U233" s="9">
        <v>56.2</v>
      </c>
      <c r="X233" s="5" t="s">
        <v>44</v>
      </c>
      <c r="Y233" s="10" t="e">
        <f>VLOOKUP(Tabela3[[#This Row],[SISTEMA]],'[1]Resultado Geral'!$D$2:$J$171,7,0)</f>
        <v>#N/A</v>
      </c>
    </row>
    <row r="234" spans="1:25" ht="14.5" customHeight="1">
      <c r="A234" s="2">
        <v>161</v>
      </c>
      <c r="B234" s="2" t="str">
        <f>VLOOKUP(Tabela3[[#This Row],[COORDENAÇÃO]],[1]Mun!$D$1:$F$137,3,FALSE)</f>
        <v>Lote 3</v>
      </c>
      <c r="C234" s="5" t="str">
        <f>VLOOKUP(Tabela3[[#This Row],[COORDENAÇÃO]],[1]Mun!$D$1:$E$137,2,FALSE)</f>
        <v>GPR SERTAO</v>
      </c>
      <c r="D234" s="5" t="s">
        <v>53</v>
      </c>
      <c r="E234" s="5" t="s">
        <v>581</v>
      </c>
      <c r="F234" s="6" t="s">
        <v>582</v>
      </c>
      <c r="G234" s="5"/>
      <c r="H234" s="5" t="s">
        <v>583</v>
      </c>
      <c r="I234" s="7"/>
      <c r="J234" s="7"/>
      <c r="K234" s="2">
        <v>1</v>
      </c>
      <c r="L234" s="8">
        <v>300</v>
      </c>
      <c r="M234" s="8"/>
      <c r="N234" s="14" t="s">
        <v>44</v>
      </c>
      <c r="O234" s="16"/>
      <c r="P234" s="16"/>
      <c r="Q234" s="16"/>
      <c r="R234" s="16"/>
      <c r="S234" s="16"/>
      <c r="U234" s="9">
        <v>282</v>
      </c>
      <c r="X234" s="5" t="s">
        <v>44</v>
      </c>
      <c r="Y234" s="10">
        <f>VLOOKUP(Tabela3[[#This Row],[SISTEMA]],'[1]Resultado Geral'!$D$2:$J$171,7,0)</f>
        <v>6.7342129972417831E-4</v>
      </c>
    </row>
    <row r="235" spans="1:25" ht="14.5" customHeight="1">
      <c r="A235" s="2">
        <v>252</v>
      </c>
      <c r="B235" s="2" t="str">
        <f>VLOOKUP(Tabela3[[#This Row],[COORDENAÇÃO]],[1]Mun!$D$1:$F$137,3,FALSE)</f>
        <v>Lote 3</v>
      </c>
      <c r="C235" s="5" t="str">
        <f>VLOOKUP(Tabela3[[#This Row],[COORDENAÇÃO]],[1]Mun!$D$1:$E$137,2,FALSE)</f>
        <v>GPR SERTAO</v>
      </c>
      <c r="D235" s="5" t="s">
        <v>45</v>
      </c>
      <c r="E235" s="5" t="s">
        <v>49</v>
      </c>
      <c r="F235" s="17" t="s">
        <v>584</v>
      </c>
      <c r="G235" s="5"/>
      <c r="H235" s="5"/>
      <c r="I235" s="7"/>
      <c r="J235" s="7"/>
      <c r="K235" s="2"/>
      <c r="L235" s="13"/>
      <c r="M235" s="13"/>
      <c r="N235" s="14"/>
      <c r="O235" s="16"/>
      <c r="P235" s="16"/>
      <c r="Q235" s="16"/>
      <c r="R235" s="16"/>
      <c r="S235" s="16"/>
      <c r="U235" s="9">
        <v>69.2</v>
      </c>
      <c r="Y235" s="10" t="e">
        <f>VLOOKUP(Tabela3[[#This Row],[SISTEMA]],'[1]Resultado Geral'!$D$2:$J$171,7,0)</f>
        <v>#N/A</v>
      </c>
    </row>
    <row r="236" spans="1:25" ht="14.5" customHeight="1">
      <c r="A236" s="2">
        <v>91</v>
      </c>
      <c r="B236" s="2" t="str">
        <f>VLOOKUP(Tabela3[[#This Row],[COORDENAÇÃO]],[1]Mun!$D$1:$F$137,3,FALSE)</f>
        <v>Lote 2</v>
      </c>
      <c r="C236" s="5" t="str">
        <f>VLOOKUP(Tabela3[[#This Row],[COORDENAÇÃO]],[1]Mun!$D$1:$E$137,2,FALSE)</f>
        <v>GPR Agreste</v>
      </c>
      <c r="D236" s="5" t="s">
        <v>77</v>
      </c>
      <c r="E236" s="5" t="s">
        <v>295</v>
      </c>
      <c r="F236" s="6" t="s">
        <v>573</v>
      </c>
      <c r="G236" s="5"/>
      <c r="H236" s="5" t="s">
        <v>585</v>
      </c>
      <c r="I236" s="7">
        <v>-8.24831</v>
      </c>
      <c r="J236" s="7">
        <v>-36.37509</v>
      </c>
      <c r="K236" s="2">
        <v>1</v>
      </c>
      <c r="L236" s="8">
        <v>300</v>
      </c>
      <c r="M236" s="8"/>
      <c r="N236" s="11" t="s">
        <v>44</v>
      </c>
      <c r="O236" s="2"/>
      <c r="P236" s="2"/>
      <c r="Q236" s="2" t="s">
        <v>44</v>
      </c>
      <c r="R236" s="2"/>
      <c r="S236" s="2"/>
      <c r="U236" s="9">
        <v>56.2</v>
      </c>
      <c r="X236" s="5" t="s">
        <v>44</v>
      </c>
      <c r="Y236" s="10" t="e">
        <f>VLOOKUP(Tabela3[[#This Row],[SISTEMA]],'[1]Resultado Geral'!$D$2:$J$171,7,0)</f>
        <v>#N/A</v>
      </c>
    </row>
    <row r="237" spans="1:25" ht="14.5" customHeight="1">
      <c r="A237" s="2">
        <v>73</v>
      </c>
      <c r="B237" s="2" t="str">
        <f>VLOOKUP(Tabela3[[#This Row],[COORDENAÇÃO]],[1]Mun!$D$1:$F$137,3,FALSE)</f>
        <v>Lote 2</v>
      </c>
      <c r="C237" s="5" t="str">
        <f>VLOOKUP(Tabela3[[#This Row],[COORDENAÇÃO]],[1]Mun!$D$1:$E$137,2,FALSE)</f>
        <v>GPR Agreste</v>
      </c>
      <c r="D237" s="5" t="s">
        <v>27</v>
      </c>
      <c r="E237" s="5" t="s">
        <v>540</v>
      </c>
      <c r="F237" s="6" t="s">
        <v>541</v>
      </c>
      <c r="G237" s="5"/>
      <c r="H237" s="5" t="s">
        <v>586</v>
      </c>
      <c r="I237" s="7">
        <v>-8.8020899999999997</v>
      </c>
      <c r="J237" s="7">
        <v>-36.158200000000001</v>
      </c>
      <c r="K237" s="2">
        <v>1</v>
      </c>
      <c r="L237" s="8">
        <v>300</v>
      </c>
      <c r="M237" s="8"/>
      <c r="N237" s="11" t="s">
        <v>44</v>
      </c>
      <c r="O237" s="2"/>
      <c r="P237" s="2"/>
      <c r="Q237" s="2" t="s">
        <v>44</v>
      </c>
      <c r="R237" s="2"/>
      <c r="S237" s="2"/>
      <c r="U237" s="9">
        <v>66.2</v>
      </c>
      <c r="V237" s="5" t="s">
        <v>33</v>
      </c>
      <c r="X237" s="5" t="s">
        <v>44</v>
      </c>
      <c r="Y237" s="10">
        <f>VLOOKUP(Tabela3[[#This Row],[SISTEMA]],'[1]Resultado Geral'!$D$2:$J$171,7,0)</f>
        <v>3.3318544964423577E-3</v>
      </c>
    </row>
    <row r="238" spans="1:25" ht="14.5" customHeight="1">
      <c r="A238" s="2">
        <v>219</v>
      </c>
      <c r="B238" s="2" t="str">
        <f>VLOOKUP(Tabela3[[#This Row],[COORDENAÇÃO]],[1]Mun!$D$1:$F$137,3,FALSE)</f>
        <v>Lote 3</v>
      </c>
      <c r="C238" s="5" t="str">
        <f>VLOOKUP(Tabela3[[#This Row],[COORDENAÇÃO]],[1]Mun!$D$1:$E$137,2,FALSE)</f>
        <v>GPR SERTAO</v>
      </c>
      <c r="D238" s="5" t="s">
        <v>34</v>
      </c>
      <c r="E238" s="5" t="s">
        <v>587</v>
      </c>
      <c r="F238" s="6" t="s">
        <v>588</v>
      </c>
      <c r="G238" s="5"/>
      <c r="H238" s="5" t="s">
        <v>38</v>
      </c>
      <c r="I238" s="7">
        <v>-8.0621170000000006</v>
      </c>
      <c r="J238" s="7">
        <v>-37.354404000000002</v>
      </c>
      <c r="K238" s="2" t="s">
        <v>39</v>
      </c>
      <c r="L238" s="8" t="s">
        <v>39</v>
      </c>
      <c r="M238" s="8"/>
      <c r="N238" s="16" t="s">
        <v>39</v>
      </c>
      <c r="O238" s="16"/>
      <c r="P238" s="16"/>
      <c r="Q238" s="16"/>
      <c r="R238" s="16"/>
      <c r="S238" s="16"/>
      <c r="U238" s="9">
        <v>235.8</v>
      </c>
      <c r="X238" s="5" t="s">
        <v>44</v>
      </c>
      <c r="Y238" s="10">
        <f>VLOOKUP(Tabela3[[#This Row],[SISTEMA]],'[1]Resultado Geral'!$D$2:$J$171,7,0)</f>
        <v>3.5153340422103274E-4</v>
      </c>
    </row>
    <row r="239" spans="1:25" ht="14.5" customHeight="1">
      <c r="A239" s="2">
        <v>121</v>
      </c>
      <c r="B239" s="2" t="str">
        <f>VLOOKUP(Tabela3[[#This Row],[COORDENAÇÃO]],[1]Mun!$D$1:$F$137,3,FALSE)</f>
        <v>Lote 2</v>
      </c>
      <c r="C239" s="5" t="str">
        <f>VLOOKUP(Tabela3[[#This Row],[COORDENAÇÃO]],[1]Mun!$D$1:$E$137,2,FALSE)</f>
        <v>GPR Agreste</v>
      </c>
      <c r="D239" s="5" t="s">
        <v>210</v>
      </c>
      <c r="E239" s="5" t="s">
        <v>589</v>
      </c>
      <c r="F239" s="6" t="s">
        <v>590</v>
      </c>
      <c r="G239" s="5"/>
      <c r="H239" s="5" t="s">
        <v>250</v>
      </c>
      <c r="I239" s="26">
        <v>-8.6663530000000009</v>
      </c>
      <c r="J239" s="26">
        <v>-35.831580000000002</v>
      </c>
      <c r="K239" s="2">
        <v>1</v>
      </c>
      <c r="L239" s="8">
        <v>300</v>
      </c>
      <c r="M239" s="8"/>
      <c r="N239" s="11" t="s">
        <v>44</v>
      </c>
      <c r="O239" s="2"/>
      <c r="P239" s="2"/>
      <c r="Q239" s="2"/>
      <c r="R239" s="2"/>
      <c r="S239" s="2"/>
      <c r="U239" s="9">
        <v>43.3</v>
      </c>
      <c r="X239" s="5" t="s">
        <v>44</v>
      </c>
      <c r="Y239" s="10">
        <f>VLOOKUP(Tabela3[[#This Row],[SISTEMA]],'[1]Resultado Geral'!$D$2:$J$171,7,0)</f>
        <v>2.3106896567917736E-3</v>
      </c>
    </row>
    <row r="240" spans="1:25" ht="14.5" customHeight="1">
      <c r="A240" s="2">
        <v>15</v>
      </c>
      <c r="B240" s="2" t="str">
        <f>VLOOKUP(Tabela3[[#This Row],[COORDENAÇÃO]],[1]Mun!$D$1:$F$137,3,FALSE)</f>
        <v>Lote 2</v>
      </c>
      <c r="C240" s="5" t="str">
        <f>VLOOKUP(Tabela3[[#This Row],[COORDENAÇÃO]],[1]Mun!$D$1:$E$137,2,FALSE)</f>
        <v>GPR Agreste</v>
      </c>
      <c r="D240" s="5" t="s">
        <v>210</v>
      </c>
      <c r="E240" s="5" t="s">
        <v>523</v>
      </c>
      <c r="F240" s="6" t="s">
        <v>524</v>
      </c>
      <c r="G240" s="5" t="s">
        <v>591</v>
      </c>
      <c r="H240" s="5" t="s">
        <v>592</v>
      </c>
      <c r="I240" s="7">
        <v>-8.3236100000000004</v>
      </c>
      <c r="J240" s="7">
        <v>-35.522060000000003</v>
      </c>
      <c r="K240" s="2" t="s">
        <v>39</v>
      </c>
      <c r="L240" s="8" t="s">
        <v>39</v>
      </c>
      <c r="M240" s="8"/>
      <c r="N240" s="2" t="s">
        <v>39</v>
      </c>
      <c r="O240" s="2"/>
      <c r="P240" s="2"/>
      <c r="Q240" s="2"/>
      <c r="R240" s="2"/>
      <c r="S240" s="2"/>
      <c r="U240" s="9">
        <v>55.8</v>
      </c>
      <c r="V240" s="5" t="s">
        <v>33</v>
      </c>
      <c r="W240" s="5" t="s">
        <v>32</v>
      </c>
      <c r="X240" s="5" t="s">
        <v>44</v>
      </c>
      <c r="Y240" s="10">
        <f>VLOOKUP(Tabela3[[#This Row],[SISTEMA]],'[1]Resultado Geral'!$D$2:$J$171,7,0)</f>
        <v>2.1332629314778258E-3</v>
      </c>
    </row>
    <row r="241" spans="1:26" ht="14.5" customHeight="1">
      <c r="A241" s="2">
        <v>86</v>
      </c>
      <c r="B241" s="2" t="str">
        <f>VLOOKUP(Tabela3[[#This Row],[COORDENAÇÃO]],[1]Mun!$D$1:$F$137,3,FALSE)</f>
        <v>Lote 2</v>
      </c>
      <c r="C241" s="5" t="str">
        <f>VLOOKUP(Tabela3[[#This Row],[COORDENAÇÃO]],[1]Mun!$D$1:$E$137,2,FALSE)</f>
        <v>GPR Agreste</v>
      </c>
      <c r="D241" s="5" t="s">
        <v>210</v>
      </c>
      <c r="E241" s="5" t="s">
        <v>267</v>
      </c>
      <c r="F241" s="6" t="s">
        <v>268</v>
      </c>
      <c r="G241" s="5"/>
      <c r="H241" s="5" t="s">
        <v>593</v>
      </c>
      <c r="I241" s="7"/>
      <c r="J241" s="7"/>
      <c r="K241" s="2">
        <v>1</v>
      </c>
      <c r="L241" s="8">
        <v>300</v>
      </c>
      <c r="M241" s="8"/>
      <c r="N241" s="11" t="s">
        <v>44</v>
      </c>
      <c r="O241" s="2"/>
      <c r="P241" s="2"/>
      <c r="Q241" s="2" t="s">
        <v>44</v>
      </c>
      <c r="R241" s="2"/>
      <c r="S241" s="2"/>
      <c r="U241" s="9">
        <v>63.8</v>
      </c>
      <c r="V241" s="5" t="s">
        <v>33</v>
      </c>
      <c r="X241" s="5" t="s">
        <v>44</v>
      </c>
      <c r="Y241" s="10">
        <f>VLOOKUP(Tabela3[[#This Row],[SISTEMA]],'[1]Resultado Geral'!$D$2:$J$171,7,0)</f>
        <v>2.9582239909001738E-3</v>
      </c>
    </row>
    <row r="242" spans="1:26">
      <c r="A242" s="2">
        <v>14</v>
      </c>
      <c r="B242" s="2" t="str">
        <f>VLOOKUP(Tabela3[[#This Row],[COORDENAÇÃO]],[1]Mun!$D$1:$F$137,3,FALSE)</f>
        <v>Lote 2</v>
      </c>
      <c r="C242" s="5" t="str">
        <f>VLOOKUP(Tabela3[[#This Row],[COORDENAÇÃO]],[1]Mun!$D$1:$E$137,2,FALSE)</f>
        <v>GPR Agreste</v>
      </c>
      <c r="D242" s="5" t="s">
        <v>210</v>
      </c>
      <c r="E242" s="5" t="s">
        <v>523</v>
      </c>
      <c r="F242" s="6" t="s">
        <v>546</v>
      </c>
      <c r="G242" s="19" t="s">
        <v>591</v>
      </c>
      <c r="H242" s="5" t="s">
        <v>592</v>
      </c>
      <c r="I242" s="7">
        <v>-8.3236100000000004</v>
      </c>
      <c r="J242" s="7">
        <v>-35.522060000000003</v>
      </c>
      <c r="K242" s="2">
        <v>1</v>
      </c>
      <c r="L242" s="8">
        <v>300</v>
      </c>
      <c r="M242" s="8" t="s">
        <v>594</v>
      </c>
      <c r="N242" s="11" t="s">
        <v>44</v>
      </c>
      <c r="O242" s="2"/>
      <c r="P242" s="2"/>
      <c r="Q242" s="2" t="s">
        <v>99</v>
      </c>
      <c r="R242" s="2"/>
      <c r="S242" s="2"/>
      <c r="U242" s="9">
        <v>55.8</v>
      </c>
      <c r="V242" s="5" t="s">
        <v>33</v>
      </c>
      <c r="W242" s="5" t="s">
        <v>32</v>
      </c>
      <c r="X242" s="5" t="s">
        <v>44</v>
      </c>
      <c r="Y242" s="10">
        <f>VLOOKUP(Tabela3[[#This Row],[SISTEMA]],'[1]Resultado Geral'!$D$2:$J$171,7,0)</f>
        <v>1.0976965448652742E-2</v>
      </c>
    </row>
    <row r="243" spans="1:26">
      <c r="A243" s="2">
        <v>109</v>
      </c>
      <c r="B243" s="2" t="str">
        <f>VLOOKUP(Tabela3[[#This Row],[COORDENAÇÃO]],[1]Mun!$D$1:$F$137,3,FALSE)</f>
        <v>Lote 2</v>
      </c>
      <c r="C243" s="5" t="str">
        <f>VLOOKUP(Tabela3[[#This Row],[COORDENAÇÃO]],[1]Mun!$D$1:$E$137,2,FALSE)</f>
        <v>GPR Agreste</v>
      </c>
      <c r="D243" s="5" t="s">
        <v>206</v>
      </c>
      <c r="E243" s="5" t="s">
        <v>228</v>
      </c>
      <c r="F243" s="6" t="s">
        <v>520</v>
      </c>
      <c r="G243" s="19"/>
      <c r="H243" s="5" t="s">
        <v>252</v>
      </c>
      <c r="I243" s="7">
        <v>-8.3131830000000004</v>
      </c>
      <c r="J243" s="7">
        <v>-36.937334999999997</v>
      </c>
      <c r="K243" s="2" t="s">
        <v>39</v>
      </c>
      <c r="L243" s="8" t="s">
        <v>39</v>
      </c>
      <c r="M243" s="8"/>
      <c r="N243" s="2" t="s">
        <v>39</v>
      </c>
      <c r="O243" s="2"/>
      <c r="P243" s="2"/>
      <c r="Q243" s="2"/>
      <c r="R243" s="2"/>
      <c r="S243" s="2"/>
      <c r="U243" s="9">
        <v>23.5</v>
      </c>
      <c r="V243" s="5" t="s">
        <v>33</v>
      </c>
      <c r="X243" s="5" t="s">
        <v>44</v>
      </c>
      <c r="Y243" s="10">
        <f>VLOOKUP(Tabela3[[#This Row],[SISTEMA]],'[1]Resultado Geral'!$D$2:$J$171,7,0)</f>
        <v>2.0475133366628273E-3</v>
      </c>
    </row>
    <row r="244" spans="1:26" ht="14.5" customHeight="1">
      <c r="A244" s="2">
        <v>274</v>
      </c>
      <c r="B244" s="2" t="str">
        <f>VLOOKUP(Tabela3[[#This Row],[COORDENAÇÃO]],[1]Mun!$D$1:$F$137,3,FALSE)</f>
        <v>Lote 3</v>
      </c>
      <c r="C244" s="5" t="str">
        <f>VLOOKUP(Tabela3[[#This Row],[COORDENAÇÃO]],[1]Mun!$D$1:$E$137,2,FALSE)</f>
        <v>GPR SERTAO</v>
      </c>
      <c r="D244" s="5" t="s">
        <v>66</v>
      </c>
      <c r="E244" s="5" t="s">
        <v>595</v>
      </c>
      <c r="F244" s="12" t="s">
        <v>596</v>
      </c>
      <c r="G244" s="5"/>
      <c r="H244" s="5"/>
      <c r="I244" s="7"/>
      <c r="J244" s="7"/>
      <c r="K244" s="2"/>
      <c r="L244" s="13"/>
      <c r="M244" s="13"/>
      <c r="N244" s="14"/>
      <c r="O244" s="15"/>
      <c r="P244" s="16"/>
      <c r="Q244" s="16"/>
      <c r="R244" s="16"/>
      <c r="S244" s="16"/>
      <c r="U244" s="9">
        <v>235.6</v>
      </c>
      <c r="Y244" s="10" t="e">
        <f>VLOOKUP(Tabela3[[#This Row],[SISTEMA]],'[1]Resultado Geral'!$D$2:$J$171,7,0)</f>
        <v>#N/A</v>
      </c>
    </row>
    <row r="245" spans="1:26" ht="14.5" customHeight="1">
      <c r="A245" s="2">
        <v>275</v>
      </c>
      <c r="B245" s="2" t="str">
        <f>VLOOKUP(Tabela3[[#This Row],[COORDENAÇÃO]],[1]Mun!$D$1:$F$137,3,FALSE)</f>
        <v>Lote 3</v>
      </c>
      <c r="C245" s="5" t="str">
        <f>VLOOKUP(Tabela3[[#This Row],[COORDENAÇÃO]],[1]Mun!$D$1:$E$137,2,FALSE)</f>
        <v>GPR SERTAO</v>
      </c>
      <c r="D245" s="5" t="s">
        <v>119</v>
      </c>
      <c r="E245" s="5" t="s">
        <v>158</v>
      </c>
      <c r="F245" s="12" t="s">
        <v>597</v>
      </c>
      <c r="G245" s="5"/>
      <c r="H245" s="5"/>
      <c r="I245" s="7"/>
      <c r="J245" s="7"/>
      <c r="K245" s="2"/>
      <c r="L245" s="13"/>
      <c r="M245" s="13"/>
      <c r="N245" s="14"/>
      <c r="O245" s="15"/>
      <c r="P245" s="16"/>
      <c r="Q245" s="16"/>
      <c r="R245" s="16"/>
      <c r="S245" s="16"/>
      <c r="U245" s="9">
        <v>143.69999999999999</v>
      </c>
      <c r="Y245" s="10" t="e">
        <f>VLOOKUP(Tabela3[[#This Row],[SISTEMA]],'[1]Resultado Geral'!$D$2:$J$171,7,0)</f>
        <v>#N/A</v>
      </c>
    </row>
    <row r="246" spans="1:26" ht="14.5" customHeight="1">
      <c r="A246" s="2">
        <v>231</v>
      </c>
      <c r="B246" s="2" t="str">
        <f>VLOOKUP(Tabela3[[#This Row],[COORDENAÇÃO]],[1]Mun!$D$1:$F$137,3,FALSE)</f>
        <v>Lote 2</v>
      </c>
      <c r="C246" s="5" t="str">
        <f>VLOOKUP(Tabela3[[#This Row],[COORDENAÇÃO]],[1]Mun!$D$1:$E$137,2,FALSE)</f>
        <v>GPR Agreste</v>
      </c>
      <c r="D246" s="5" t="s">
        <v>206</v>
      </c>
      <c r="E246" s="5" t="s">
        <v>550</v>
      </c>
      <c r="F246" s="6" t="s">
        <v>598</v>
      </c>
      <c r="G246" s="5"/>
      <c r="H246" s="5" t="s">
        <v>209</v>
      </c>
      <c r="I246" s="7">
        <v>-8.5239999999999991</v>
      </c>
      <c r="J246" s="7">
        <v>-35.838000000000001</v>
      </c>
      <c r="K246" s="2" t="s">
        <v>39</v>
      </c>
      <c r="L246" s="8" t="s">
        <v>39</v>
      </c>
      <c r="M246" s="8"/>
      <c r="N246" s="16" t="s">
        <v>39</v>
      </c>
      <c r="O246" s="16"/>
      <c r="P246" s="16"/>
      <c r="Q246" s="16"/>
      <c r="R246" s="16"/>
      <c r="S246" s="16"/>
      <c r="U246" s="9">
        <v>59.7</v>
      </c>
      <c r="V246" s="5" t="s">
        <v>33</v>
      </c>
      <c r="X246" s="5" t="s">
        <v>44</v>
      </c>
      <c r="Y246" s="10">
        <f>VLOOKUP(Tabela3[[#This Row],[SISTEMA]],'[1]Resultado Geral'!$D$2:$J$171,7,0)</f>
        <v>2.2320938223477902E-4</v>
      </c>
    </row>
    <row r="247" spans="1:26" ht="14.5" customHeight="1">
      <c r="A247" s="2">
        <v>59</v>
      </c>
      <c r="B247" s="2" t="str">
        <f>VLOOKUP(Tabela3[[#This Row],[COORDENAÇÃO]],[1]Mun!$D$1:$F$137,3,FALSE)</f>
        <v>Lote 2</v>
      </c>
      <c r="C247" s="5" t="str">
        <f>VLOOKUP(Tabela3[[#This Row],[COORDENAÇÃO]],[1]Mun!$D$1:$E$137,2,FALSE)</f>
        <v>GPR Agreste</v>
      </c>
      <c r="D247" s="5" t="s">
        <v>27</v>
      </c>
      <c r="E247" s="5" t="s">
        <v>181</v>
      </c>
      <c r="F247" s="6" t="s">
        <v>182</v>
      </c>
      <c r="G247" s="5"/>
      <c r="H247" s="5" t="s">
        <v>599</v>
      </c>
      <c r="I247" s="7"/>
      <c r="J247" s="7"/>
      <c r="K247" s="2">
        <v>1</v>
      </c>
      <c r="L247" s="8">
        <v>400</v>
      </c>
      <c r="M247" s="8"/>
      <c r="N247" s="11" t="s">
        <v>44</v>
      </c>
      <c r="O247" s="2"/>
      <c r="P247" s="2"/>
      <c r="Q247" s="2" t="s">
        <v>44</v>
      </c>
      <c r="R247" s="2"/>
      <c r="S247" s="2"/>
      <c r="U247" s="9">
        <v>85.4</v>
      </c>
      <c r="V247" s="5" t="s">
        <v>33</v>
      </c>
      <c r="X247" s="5" t="s">
        <v>44</v>
      </c>
      <c r="Y247" s="10">
        <f>VLOOKUP(Tabela3[[#This Row],[SISTEMA]],'[1]Resultado Geral'!$D$2:$J$171,7,0)</f>
        <v>3.5122332441510874E-3</v>
      </c>
    </row>
    <row r="248" spans="1:26" ht="14.5" customHeight="1">
      <c r="A248" s="2">
        <v>32</v>
      </c>
      <c r="B248" s="2" t="str">
        <f>VLOOKUP(Tabela3[[#This Row],[COORDENAÇÃO]],[1]Mun!$D$1:$F$137,3,FALSE)</f>
        <v>Lote 2</v>
      </c>
      <c r="C248" s="5" t="str">
        <f>VLOOKUP(Tabela3[[#This Row],[COORDENAÇÃO]],[1]Mun!$D$1:$E$137,2,FALSE)</f>
        <v>GPR Agreste</v>
      </c>
      <c r="D248" s="5" t="s">
        <v>27</v>
      </c>
      <c r="E248" s="5" t="s">
        <v>28</v>
      </c>
      <c r="F248" s="6" t="s">
        <v>130</v>
      </c>
      <c r="G248" s="5" t="s">
        <v>600</v>
      </c>
      <c r="H248" s="5" t="s">
        <v>601</v>
      </c>
      <c r="I248" s="7">
        <v>-8.3458799999999993</v>
      </c>
      <c r="J248" s="7">
        <v>-36.373660000000001</v>
      </c>
      <c r="K248" s="2">
        <v>1</v>
      </c>
      <c r="L248" s="8">
        <v>400</v>
      </c>
      <c r="M248" s="8"/>
      <c r="N248" s="2" t="s">
        <v>44</v>
      </c>
      <c r="O248" s="2"/>
      <c r="P248" s="2"/>
      <c r="Q248" s="2" t="s">
        <v>44</v>
      </c>
      <c r="R248" s="2"/>
      <c r="S248" s="2"/>
      <c r="U248" s="9">
        <v>55.7</v>
      </c>
      <c r="V248" s="5" t="s">
        <v>33</v>
      </c>
      <c r="W248" s="5" t="s">
        <v>32</v>
      </c>
      <c r="X248" s="5" t="s">
        <v>44</v>
      </c>
      <c r="Y248" s="10">
        <f>VLOOKUP(Tabela3[[#This Row],[SISTEMA]],'[1]Resultado Geral'!$D$2:$J$171,7,0)</f>
        <v>1.2784762664806139E-2</v>
      </c>
    </row>
    <row r="249" spans="1:26" ht="14.5" customHeight="1">
      <c r="A249" s="2">
        <v>112</v>
      </c>
      <c r="B249" s="2" t="str">
        <f>VLOOKUP(Tabela3[[#This Row],[COORDENAÇÃO]],[1]Mun!$D$1:$F$137,3,FALSE)</f>
        <v>Lote 3</v>
      </c>
      <c r="C249" s="5" t="str">
        <f>VLOOKUP(Tabela3[[#This Row],[COORDENAÇÃO]],[1]Mun!$D$1:$E$137,2,FALSE)</f>
        <v>GPR SERTAO</v>
      </c>
      <c r="D249" s="5" t="s">
        <v>34</v>
      </c>
      <c r="E249" s="5" t="s">
        <v>602</v>
      </c>
      <c r="F249" s="6" t="s">
        <v>603</v>
      </c>
      <c r="G249" s="5"/>
      <c r="H249" s="5" t="s">
        <v>38</v>
      </c>
      <c r="I249" s="7">
        <v>-8.0621170000000006</v>
      </c>
      <c r="J249" s="7">
        <v>-37.354404000000002</v>
      </c>
      <c r="K249" s="2" t="s">
        <v>39</v>
      </c>
      <c r="L249" s="8" t="s">
        <v>39</v>
      </c>
      <c r="M249" s="8"/>
      <c r="N249" s="2" t="s">
        <v>39</v>
      </c>
      <c r="O249" s="2"/>
      <c r="P249" s="2"/>
      <c r="Q249" s="2"/>
      <c r="R249" s="2"/>
      <c r="S249" s="2"/>
      <c r="U249" s="9">
        <v>234.1</v>
      </c>
      <c r="X249" s="5" t="s">
        <v>44</v>
      </c>
      <c r="Y249" s="10">
        <f>VLOOKUP(Tabela3[[#This Row],[SISTEMA]],'[1]Resultado Geral'!$D$2:$J$171,7,0)</f>
        <v>2.5700181684199354E-3</v>
      </c>
    </row>
    <row r="250" spans="1:26" ht="14.5" customHeight="1">
      <c r="A250" s="2">
        <v>227</v>
      </c>
      <c r="B250" s="2" t="str">
        <f>VLOOKUP(Tabela3[[#This Row],[COORDENAÇÃO]],[1]Mun!$D$1:$F$137,3,FALSE)</f>
        <v>Lote 3</v>
      </c>
      <c r="C250" s="5" t="str">
        <f>VLOOKUP(Tabela3[[#This Row],[COORDENAÇÃO]],[1]Mun!$D$1:$E$137,2,FALSE)</f>
        <v>GPR SERTAO</v>
      </c>
      <c r="D250" s="5" t="s">
        <v>230</v>
      </c>
      <c r="E250" s="5" t="s">
        <v>604</v>
      </c>
      <c r="F250" s="6" t="s">
        <v>605</v>
      </c>
      <c r="G250" s="5"/>
      <c r="H250" s="5" t="s">
        <v>606</v>
      </c>
      <c r="I250" s="7"/>
      <c r="J250" s="7"/>
      <c r="K250" s="2">
        <v>1</v>
      </c>
      <c r="L250" s="8">
        <v>150</v>
      </c>
      <c r="M250" s="8"/>
      <c r="N250" s="11" t="s">
        <v>44</v>
      </c>
      <c r="O250" s="2"/>
      <c r="P250" s="2"/>
      <c r="Q250" s="2"/>
      <c r="R250" s="2"/>
      <c r="S250" s="2"/>
      <c r="U250" s="9">
        <v>76.3</v>
      </c>
      <c r="X250" s="5" t="s">
        <v>44</v>
      </c>
      <c r="Y250" s="10">
        <f>VLOOKUP(Tabela3[[#This Row],[SISTEMA]],'[1]Resultado Geral'!$D$2:$J$171,7,0)</f>
        <v>2.7988617633707387E-4</v>
      </c>
    </row>
    <row r="251" spans="1:26" ht="14.5" customHeight="1">
      <c r="A251" s="2">
        <v>23</v>
      </c>
      <c r="B251" s="2" t="str">
        <f>VLOOKUP(Tabela3[[#This Row],[COORDENAÇÃO]],[1]Mun!$D$1:$F$137,3,FALSE)</f>
        <v>Lote 1</v>
      </c>
      <c r="C251" s="5" t="str">
        <f>VLOOKUP(Tabela3[[#This Row],[COORDENAÇÃO]],[1]Mun!$D$1:$E$137,2,FALSE)</f>
        <v>GPM</v>
      </c>
      <c r="D251" s="5" t="s">
        <v>325</v>
      </c>
      <c r="E251" s="5" t="s">
        <v>481</v>
      </c>
      <c r="F251" s="6" t="s">
        <v>607</v>
      </c>
      <c r="G251" s="5"/>
      <c r="H251" s="5" t="s">
        <v>608</v>
      </c>
      <c r="I251" s="7">
        <v>-8.0298999999999996</v>
      </c>
      <c r="J251" s="7">
        <v>-35.12079</v>
      </c>
      <c r="K251" s="2">
        <v>1</v>
      </c>
      <c r="L251" s="8">
        <v>800</v>
      </c>
      <c r="M251" s="8"/>
      <c r="N251" s="11" t="s">
        <v>44</v>
      </c>
      <c r="O251" s="2"/>
      <c r="P251" s="2"/>
      <c r="Q251" s="2" t="s">
        <v>44</v>
      </c>
      <c r="R251" s="2"/>
      <c r="S251" s="2"/>
      <c r="U251" s="9">
        <v>22.7</v>
      </c>
      <c r="V251" s="5" t="s">
        <v>33</v>
      </c>
      <c r="X251" s="5" t="s">
        <v>44</v>
      </c>
      <c r="Y251" s="10">
        <f>VLOOKUP(Tabela3[[#This Row],[SISTEMA]],'[1]Resultado Geral'!$D$2:$J$171,7,0)</f>
        <v>1.54E-2</v>
      </c>
    </row>
    <row r="252" spans="1:26">
      <c r="A252" s="2">
        <v>211</v>
      </c>
      <c r="B252" s="2" t="str">
        <f>VLOOKUP(Tabela3[[#This Row],[COORDENAÇÃO]],[1]Mun!$D$1:$F$137,3,FALSE)</f>
        <v>Lote 1</v>
      </c>
      <c r="C252" s="5" t="str">
        <f>VLOOKUP(Tabela3[[#This Row],[COORDENAÇÃO]],[1]Mun!$D$1:$E$137,2,FALSE)</f>
        <v>GPM</v>
      </c>
      <c r="D252" s="5" t="s">
        <v>325</v>
      </c>
      <c r="E252" s="5" t="s">
        <v>609</v>
      </c>
      <c r="F252" s="6" t="s">
        <v>610</v>
      </c>
      <c r="G252" s="5"/>
      <c r="H252" s="5" t="s">
        <v>611</v>
      </c>
      <c r="I252" s="7">
        <v>-7.9694166666666666</v>
      </c>
      <c r="J252" s="7">
        <v>-35.014861111111109</v>
      </c>
      <c r="K252" s="2">
        <v>1</v>
      </c>
      <c r="L252" s="8">
        <v>200</v>
      </c>
      <c r="M252" s="8"/>
      <c r="N252" s="14" t="s">
        <v>44</v>
      </c>
      <c r="O252" s="16"/>
      <c r="P252" s="16"/>
      <c r="Q252" s="16"/>
      <c r="R252" s="16"/>
      <c r="S252" s="16"/>
      <c r="U252" s="9">
        <v>12.8</v>
      </c>
      <c r="W252" s="5" t="s">
        <v>32</v>
      </c>
      <c r="X252" s="5" t="s">
        <v>44</v>
      </c>
      <c r="Y252" s="10">
        <f>VLOOKUP(Tabela3[[#This Row],[SISTEMA]],'[1]Resultado Geral'!$D$2:$J$171,7,0)</f>
        <v>3.7090274288582793E-4</v>
      </c>
    </row>
    <row r="253" spans="1:26" ht="14.5" customHeight="1">
      <c r="A253" s="2">
        <v>260</v>
      </c>
      <c r="B253" s="2" t="str">
        <f>VLOOKUP(Tabela3[[#This Row],[COORDENAÇÃO]],[1]Mun!$D$1:$F$137,3,FALSE)</f>
        <v>Lote 3</v>
      </c>
      <c r="C253" s="5" t="str">
        <f>VLOOKUP(Tabela3[[#This Row],[COORDENAÇÃO]],[1]Mun!$D$1:$E$137,2,FALSE)</f>
        <v>GPR SERTAO</v>
      </c>
      <c r="D253" s="5" t="s">
        <v>230</v>
      </c>
      <c r="E253" s="5" t="s">
        <v>501</v>
      </c>
      <c r="F253" s="17" t="s">
        <v>612</v>
      </c>
      <c r="G253" s="5"/>
      <c r="H253" s="5"/>
      <c r="I253" s="7"/>
      <c r="J253" s="7"/>
      <c r="K253" s="2"/>
      <c r="L253" s="13"/>
      <c r="M253" s="13"/>
      <c r="N253" s="14"/>
      <c r="O253" s="16"/>
      <c r="P253" s="16"/>
      <c r="Q253" s="16"/>
      <c r="R253" s="16"/>
      <c r="S253" s="16"/>
      <c r="U253" s="9">
        <v>112.6</v>
      </c>
      <c r="Y253" s="10" t="e">
        <f>VLOOKUP(Tabela3[[#This Row],[SISTEMA]],'[1]Resultado Geral'!$D$2:$J$171,7,0)</f>
        <v>#N/A</v>
      </c>
    </row>
    <row r="254" spans="1:26" ht="14.5" customHeight="1">
      <c r="A254" s="2">
        <v>44</v>
      </c>
      <c r="B254" s="2" t="str">
        <f>VLOOKUP(Tabela3[[#This Row],[COORDENAÇÃO]],[1]Mun!$D$1:$F$137,3,FALSE)</f>
        <v>Lote 2</v>
      </c>
      <c r="C254" s="5" t="str">
        <f>VLOOKUP(Tabela3[[#This Row],[COORDENAÇÃO]],[1]Mun!$D$1:$E$137,2,FALSE)</f>
        <v>GPR Agreste</v>
      </c>
      <c r="D254" s="5" t="s">
        <v>210</v>
      </c>
      <c r="E254" s="5" t="s">
        <v>523</v>
      </c>
      <c r="F254" s="6" t="s">
        <v>546</v>
      </c>
      <c r="G254" s="5" t="s">
        <v>613</v>
      </c>
      <c r="H254" s="5" t="s">
        <v>614</v>
      </c>
      <c r="I254" s="7">
        <v>-8.2525899999999996</v>
      </c>
      <c r="J254" s="7">
        <v>-35.491140000000001</v>
      </c>
      <c r="K254" s="2">
        <v>1</v>
      </c>
      <c r="L254" s="8">
        <v>400</v>
      </c>
      <c r="M254" s="8"/>
      <c r="N254" s="11" t="s">
        <v>44</v>
      </c>
      <c r="O254" s="2"/>
      <c r="P254" s="2"/>
      <c r="Q254" s="2" t="s">
        <v>99</v>
      </c>
      <c r="R254" s="2"/>
      <c r="S254" s="2"/>
      <c r="U254" s="9">
        <v>55.8</v>
      </c>
      <c r="V254" s="5" t="s">
        <v>33</v>
      </c>
      <c r="W254" s="5" t="s">
        <v>32</v>
      </c>
      <c r="X254" s="5" t="s">
        <v>44</v>
      </c>
      <c r="Y254" s="10">
        <f>VLOOKUP(Tabela3[[#This Row],[SISTEMA]],'[1]Resultado Geral'!$D$2:$J$171,7,0)</f>
        <v>1.0976965448652742E-2</v>
      </c>
    </row>
    <row r="255" spans="1:26" ht="14.5" customHeight="1">
      <c r="A255" s="2">
        <v>45</v>
      </c>
      <c r="B255" s="2" t="str">
        <f>VLOOKUP(Tabela3[[#This Row],[COORDENAÇÃO]],[1]Mun!$D$1:$F$137,3,FALSE)</f>
        <v>Lote 2</v>
      </c>
      <c r="C255" s="5" t="str">
        <f>VLOOKUP(Tabela3[[#This Row],[COORDENAÇÃO]],[1]Mun!$D$1:$E$137,2,FALSE)</f>
        <v>GPR Agreste</v>
      </c>
      <c r="D255" s="5" t="s">
        <v>77</v>
      </c>
      <c r="E255" s="5" t="s">
        <v>615</v>
      </c>
      <c r="F255" s="6" t="s">
        <v>616</v>
      </c>
      <c r="G255" s="5" t="s">
        <v>80</v>
      </c>
      <c r="H255" s="5" t="s">
        <v>617</v>
      </c>
      <c r="I255" s="7">
        <v>-7.9653694444444447</v>
      </c>
      <c r="J255" s="7">
        <v>-35.738383333333331</v>
      </c>
      <c r="K255" s="2">
        <v>1</v>
      </c>
      <c r="L255" s="8">
        <v>500</v>
      </c>
      <c r="M255" s="8"/>
      <c r="N255" s="11" t="s">
        <v>44</v>
      </c>
      <c r="O255" s="2"/>
      <c r="P255" s="2"/>
      <c r="Q255" s="2" t="s">
        <v>44</v>
      </c>
      <c r="R255" s="2"/>
      <c r="S255" s="2"/>
      <c r="T255" s="5" t="s">
        <v>618</v>
      </c>
      <c r="U255" s="9">
        <v>76.900000000000006</v>
      </c>
      <c r="V255" s="5" t="s">
        <v>33</v>
      </c>
      <c r="X255" s="5" t="s">
        <v>32</v>
      </c>
      <c r="Y255" s="10">
        <f>VLOOKUP(Tabela3[[#This Row],[SISTEMA]],'[1]Resultado Geral'!$D$2:$J$171,7,0)</f>
        <v>7.9282903953347191E-3</v>
      </c>
      <c r="Z255" s="35" t="s">
        <v>619</v>
      </c>
    </row>
    <row r="256" spans="1:26" ht="14.5" customHeight="1">
      <c r="A256" s="2">
        <v>17</v>
      </c>
      <c r="B256" s="2" t="str">
        <f>VLOOKUP(Tabela3[[#This Row],[COORDENAÇÃO]],[1]Mun!$D$1:$F$137,3,FALSE)</f>
        <v>Lote 2</v>
      </c>
      <c r="C256" s="5" t="str">
        <f>VLOOKUP(Tabela3[[#This Row],[COORDENAÇÃO]],[1]Mun!$D$1:$E$137,2,FALSE)</f>
        <v>GPR Agreste</v>
      </c>
      <c r="D256" s="5" t="s">
        <v>61</v>
      </c>
      <c r="E256" s="5" t="s">
        <v>511</v>
      </c>
      <c r="F256" s="6" t="s">
        <v>512</v>
      </c>
      <c r="G256" s="5" t="s">
        <v>513</v>
      </c>
      <c r="H256" s="5" t="s">
        <v>620</v>
      </c>
      <c r="I256" s="7">
        <v>-8.9888888888888889</v>
      </c>
      <c r="J256" s="7">
        <v>-36.47215555555556</v>
      </c>
      <c r="K256" s="2">
        <v>1</v>
      </c>
      <c r="L256" s="8">
        <v>500</v>
      </c>
      <c r="M256" s="8"/>
      <c r="N256" s="11" t="s">
        <v>44</v>
      </c>
      <c r="O256" s="2"/>
      <c r="P256" s="2"/>
      <c r="Q256" s="2" t="s">
        <v>44</v>
      </c>
      <c r="R256" s="2"/>
      <c r="S256" s="2"/>
      <c r="U256" s="9">
        <v>346.1</v>
      </c>
      <c r="V256" s="5" t="s">
        <v>33</v>
      </c>
      <c r="W256" s="5" t="s">
        <v>32</v>
      </c>
      <c r="X256" s="5" t="s">
        <v>32</v>
      </c>
      <c r="Y256" s="10">
        <f>VLOOKUP(Tabela3[[#This Row],[SISTEMA]],'[1]Resultado Geral'!$D$2:$J$171,7,0)</f>
        <v>1.6611194451697307E-2</v>
      </c>
    </row>
    <row r="257" spans="1:26" ht="14.5" customHeight="1">
      <c r="A257" s="2">
        <v>267</v>
      </c>
      <c r="B257" s="2" t="str">
        <f>VLOOKUP(Tabela3[[#This Row],[COORDENAÇÃO]],[1]Mun!$D$1:$F$137,3,FALSE)</f>
        <v>Lote 3</v>
      </c>
      <c r="C257" s="5" t="str">
        <f>VLOOKUP(Tabela3[[#This Row],[COORDENAÇÃO]],[1]Mun!$D$1:$E$137,2,FALSE)</f>
        <v>GPR SERTAO</v>
      </c>
      <c r="D257" s="5" t="s">
        <v>45</v>
      </c>
      <c r="E257" s="5" t="s">
        <v>518</v>
      </c>
      <c r="F257" s="12" t="s">
        <v>621</v>
      </c>
      <c r="G257" s="5"/>
      <c r="H257" s="5"/>
      <c r="I257" s="7"/>
      <c r="J257" s="7"/>
      <c r="K257" s="2"/>
      <c r="L257" s="13"/>
      <c r="M257" s="13"/>
      <c r="N257" s="14"/>
      <c r="O257" s="15"/>
      <c r="P257" s="16"/>
      <c r="Q257" s="16"/>
      <c r="R257" s="16"/>
      <c r="S257" s="16"/>
      <c r="U257" s="9">
        <v>50.8</v>
      </c>
      <c r="Y257" s="10" t="e">
        <f>VLOOKUP(Tabela3[[#This Row],[SISTEMA]],'[1]Resultado Geral'!$D$2:$J$171,7,0)</f>
        <v>#N/A</v>
      </c>
    </row>
    <row r="258" spans="1:26" ht="14.5" customHeight="1">
      <c r="A258" s="2">
        <v>100</v>
      </c>
      <c r="B258" s="2" t="str">
        <f>VLOOKUP(Tabela3[[#This Row],[COORDENAÇÃO]],[1]Mun!$D$1:$F$137,3,FALSE)</f>
        <v>Lote 3</v>
      </c>
      <c r="C258" s="5" t="str">
        <f>VLOOKUP(Tabela3[[#This Row],[COORDENAÇÃO]],[1]Mun!$D$1:$E$137,2,FALSE)</f>
        <v>GPR SERTAO</v>
      </c>
      <c r="D258" s="5" t="s">
        <v>66</v>
      </c>
      <c r="E258" s="5" t="s">
        <v>67</v>
      </c>
      <c r="F258" s="6" t="s">
        <v>622</v>
      </c>
      <c r="G258" s="5"/>
      <c r="H258" s="5" t="s">
        <v>623</v>
      </c>
      <c r="I258" s="7"/>
      <c r="J258" s="7"/>
      <c r="K258" s="2">
        <v>1</v>
      </c>
      <c r="L258" s="8">
        <v>300</v>
      </c>
      <c r="M258" s="8"/>
      <c r="N258" s="11" t="s">
        <v>32</v>
      </c>
      <c r="O258" s="2" t="s">
        <v>132</v>
      </c>
      <c r="P258" s="2"/>
      <c r="Q258" s="2" t="s">
        <v>44</v>
      </c>
      <c r="R258" s="2"/>
      <c r="S258" s="2"/>
      <c r="U258" s="9">
        <v>230.8</v>
      </c>
      <c r="V258" s="5" t="s">
        <v>33</v>
      </c>
      <c r="W258" s="5" t="s">
        <v>32</v>
      </c>
      <c r="X258" s="5" t="s">
        <v>44</v>
      </c>
      <c r="Y258" s="10">
        <f>VLOOKUP(Tabela3[[#This Row],[SISTEMA]],'[1]Resultado Geral'!$D$2:$J$171,7,0)</f>
        <v>2.3359126131261791E-3</v>
      </c>
    </row>
    <row r="259" spans="1:26" ht="14.5" customHeight="1">
      <c r="A259" s="2">
        <v>18</v>
      </c>
      <c r="B259" s="2" t="str">
        <f>VLOOKUP(Tabela3[[#This Row],[COORDENAÇÃO]],[1]Mun!$D$1:$F$137,3,FALSE)</f>
        <v>Lote 2</v>
      </c>
      <c r="C259" s="5" t="str">
        <f>VLOOKUP(Tabela3[[#This Row],[COORDENAÇÃO]],[1]Mun!$D$1:$E$137,2,FALSE)</f>
        <v>GPR Agreste</v>
      </c>
      <c r="D259" s="5" t="s">
        <v>61</v>
      </c>
      <c r="E259" s="5" t="s">
        <v>511</v>
      </c>
      <c r="F259" s="6" t="s">
        <v>512</v>
      </c>
      <c r="G259" s="5" t="s">
        <v>513</v>
      </c>
      <c r="H259" s="5" t="s">
        <v>624</v>
      </c>
      <c r="I259" s="7">
        <v>-8.9906777777777762</v>
      </c>
      <c r="J259" s="7">
        <v>-36.382444444444445</v>
      </c>
      <c r="K259" s="2">
        <v>1</v>
      </c>
      <c r="L259" s="8">
        <v>600</v>
      </c>
      <c r="M259" s="8"/>
      <c r="N259" s="11" t="s">
        <v>44</v>
      </c>
      <c r="O259" s="2"/>
      <c r="P259" s="2"/>
      <c r="Q259" s="2" t="s">
        <v>44</v>
      </c>
      <c r="R259" s="2"/>
      <c r="S259" s="2"/>
      <c r="U259" s="9">
        <v>346.1</v>
      </c>
      <c r="V259" s="5" t="s">
        <v>33</v>
      </c>
      <c r="W259" s="5" t="s">
        <v>32</v>
      </c>
      <c r="X259" s="5" t="s">
        <v>32</v>
      </c>
      <c r="Y259" s="10">
        <f>VLOOKUP(Tabela3[[#This Row],[SISTEMA]],'[1]Resultado Geral'!$D$2:$J$171,7,0)</f>
        <v>1.6611194451697307E-2</v>
      </c>
      <c r="Z259" s="35" t="s">
        <v>625</v>
      </c>
    </row>
    <row r="260" spans="1:26" ht="14.5" customHeight="1">
      <c r="A260" s="2">
        <v>60</v>
      </c>
      <c r="B260" s="2" t="str">
        <f>VLOOKUP(Tabela3[[#This Row],[COORDENAÇÃO]],[1]Mun!$D$1:$F$137,3,FALSE)</f>
        <v>Lote 2</v>
      </c>
      <c r="C260" s="5" t="str">
        <f>VLOOKUP(Tabela3[[#This Row],[COORDENAÇÃO]],[1]Mun!$D$1:$E$137,2,FALSE)</f>
        <v>GPR Agreste</v>
      </c>
      <c r="D260" s="5" t="s">
        <v>210</v>
      </c>
      <c r="E260" s="5" t="s">
        <v>523</v>
      </c>
      <c r="F260" s="6" t="s">
        <v>524</v>
      </c>
      <c r="G260" s="5" t="s">
        <v>613</v>
      </c>
      <c r="H260" s="5" t="s">
        <v>614</v>
      </c>
      <c r="I260" s="7">
        <v>-8.2525899999999996</v>
      </c>
      <c r="J260" s="7">
        <v>-35.491140000000001</v>
      </c>
      <c r="K260" s="2" t="s">
        <v>39</v>
      </c>
      <c r="L260" s="8" t="s">
        <v>39</v>
      </c>
      <c r="M260" s="8"/>
      <c r="N260" s="2" t="s">
        <v>39</v>
      </c>
      <c r="O260" s="2"/>
      <c r="P260" s="2"/>
      <c r="Q260" s="2"/>
      <c r="R260" s="2"/>
      <c r="S260" s="2"/>
      <c r="U260" s="9">
        <v>55.8</v>
      </c>
      <c r="V260" s="5" t="s">
        <v>33</v>
      </c>
      <c r="W260" s="5" t="s">
        <v>32</v>
      </c>
      <c r="X260" s="5" t="s">
        <v>44</v>
      </c>
      <c r="Y260" s="10">
        <f>VLOOKUP(Tabela3[[#This Row],[SISTEMA]],'[1]Resultado Geral'!$D$2:$J$171,7,0)</f>
        <v>2.1332629314778258E-3</v>
      </c>
    </row>
    <row r="261" spans="1:26" ht="14.5" customHeight="1">
      <c r="A261" s="2">
        <v>48</v>
      </c>
      <c r="B261" s="2" t="str">
        <f>VLOOKUP(Tabela3[[#This Row],[COORDENAÇÃO]],[1]Mun!$D$1:$F$137,3,FALSE)</f>
        <v>Lote 3</v>
      </c>
      <c r="C261" s="5" t="str">
        <f>VLOOKUP(Tabela3[[#This Row],[COORDENAÇÃO]],[1]Mun!$D$1:$E$137,2,FALSE)</f>
        <v>GPR SERTAO</v>
      </c>
      <c r="D261" s="5" t="s">
        <v>45</v>
      </c>
      <c r="E261" s="5" t="s">
        <v>626</v>
      </c>
      <c r="F261" s="6" t="s">
        <v>627</v>
      </c>
      <c r="G261" s="5"/>
      <c r="H261" s="5" t="s">
        <v>628</v>
      </c>
      <c r="I261" s="7"/>
      <c r="J261" s="7"/>
      <c r="K261" s="2">
        <v>1</v>
      </c>
      <c r="L261" s="8">
        <v>400</v>
      </c>
      <c r="M261" s="8"/>
      <c r="N261" s="2" t="s">
        <v>32</v>
      </c>
      <c r="O261" s="2"/>
      <c r="P261" s="2"/>
      <c r="Q261" s="2" t="s">
        <v>44</v>
      </c>
      <c r="R261" s="2"/>
      <c r="S261" s="2"/>
      <c r="U261" s="9">
        <v>0</v>
      </c>
      <c r="X261" s="5" t="s">
        <v>44</v>
      </c>
      <c r="Y261" s="10">
        <f>VLOOKUP(Tabela3[[#This Row],[SISTEMA]],'[1]Resultado Geral'!$D$2:$J$171,7,0)</f>
        <v>7.6804526896054812E-3</v>
      </c>
    </row>
    <row r="262" spans="1:26">
      <c r="A262" s="2">
        <v>141</v>
      </c>
      <c r="B262" s="2" t="str">
        <f>VLOOKUP(Tabela3[[#This Row],[COORDENAÇÃO]],[1]Mun!$D$1:$F$137,3,FALSE)</f>
        <v>Lote 3</v>
      </c>
      <c r="C262" s="5" t="str">
        <f>VLOOKUP(Tabela3[[#This Row],[COORDENAÇÃO]],[1]Mun!$D$1:$E$137,2,FALSE)</f>
        <v>GPR SERTAO</v>
      </c>
      <c r="D262" s="5" t="s">
        <v>34</v>
      </c>
      <c r="E262" s="5" t="s">
        <v>629</v>
      </c>
      <c r="F262" s="6" t="s">
        <v>630</v>
      </c>
      <c r="G262" s="5"/>
      <c r="H262" s="5" t="s">
        <v>38</v>
      </c>
      <c r="I262" s="7">
        <v>-8.0621170000000006</v>
      </c>
      <c r="J262" s="7">
        <v>-37.354404000000002</v>
      </c>
      <c r="K262" s="2" t="s">
        <v>39</v>
      </c>
      <c r="L262" s="8" t="s">
        <v>39</v>
      </c>
      <c r="M262" s="8"/>
      <c r="N262" s="2" t="s">
        <v>39</v>
      </c>
      <c r="O262" s="2"/>
      <c r="P262" s="2"/>
      <c r="Q262" s="2"/>
      <c r="R262" s="2"/>
      <c r="S262" s="2"/>
      <c r="U262" s="9">
        <v>201.4</v>
      </c>
      <c r="X262" s="5" t="s">
        <v>44</v>
      </c>
      <c r="Y262" s="10">
        <f>VLOOKUP(Tabela3[[#This Row],[SISTEMA]],'[1]Resultado Geral'!$D$2:$J$171,7,0)</f>
        <v>1.3726805473978443E-3</v>
      </c>
    </row>
    <row r="263" spans="1:26">
      <c r="A263" s="2">
        <v>234</v>
      </c>
      <c r="B263" s="2" t="str">
        <f>VLOOKUP(Tabela3[[#This Row],[COORDENAÇÃO]],[1]Mun!$D$1:$F$137,3,FALSE)</f>
        <v>Lote 3</v>
      </c>
      <c r="C263" s="5" t="str">
        <f>VLOOKUP(Tabela3[[#This Row],[COORDENAÇÃO]],[1]Mun!$D$1:$E$137,2,FALSE)</f>
        <v>GPR SERTAO</v>
      </c>
      <c r="D263" s="5" t="s">
        <v>45</v>
      </c>
      <c r="E263" s="5" t="s">
        <v>626</v>
      </c>
      <c r="F263" s="6" t="s">
        <v>631</v>
      </c>
      <c r="G263" s="5"/>
      <c r="H263" s="5" t="s">
        <v>632</v>
      </c>
      <c r="I263" s="7"/>
      <c r="J263" s="7"/>
      <c r="K263" s="2">
        <v>1</v>
      </c>
      <c r="L263" s="8">
        <v>600</v>
      </c>
      <c r="M263" s="8" t="s">
        <v>52</v>
      </c>
      <c r="N263" s="14" t="s">
        <v>44</v>
      </c>
      <c r="O263" s="16"/>
      <c r="P263" s="16"/>
      <c r="Q263" s="16"/>
      <c r="R263" s="16"/>
      <c r="S263" s="16"/>
      <c r="U263" s="9">
        <v>0</v>
      </c>
      <c r="X263" s="5" t="s">
        <v>32</v>
      </c>
      <c r="Y263" s="10">
        <f>VLOOKUP(Tabela3[[#This Row],[SISTEMA]],'[1]Resultado Geral'!$D$2:$J$171,7,0)</f>
        <v>2.9897644317653747E-4</v>
      </c>
    </row>
    <row r="264" spans="1:26">
      <c r="A264" s="2">
        <v>262</v>
      </c>
      <c r="B264" s="2" t="str">
        <f>VLOOKUP(Tabela3[[#This Row],[COORDENAÇÃO]],[1]Mun!$D$1:$F$137,3,FALSE)</f>
        <v>Lote 3</v>
      </c>
      <c r="C264" s="5" t="str">
        <f>VLOOKUP(Tabela3[[#This Row],[COORDENAÇÃO]],[1]Mun!$D$1:$E$137,2,FALSE)</f>
        <v>GPR SERTAO</v>
      </c>
      <c r="D264" s="5" t="s">
        <v>45</v>
      </c>
      <c r="E264" s="5" t="s">
        <v>626</v>
      </c>
      <c r="F264" s="17" t="s">
        <v>633</v>
      </c>
      <c r="G264" s="5"/>
      <c r="H264" s="5"/>
      <c r="I264" s="7"/>
      <c r="J264" s="7"/>
      <c r="K264" s="2"/>
      <c r="L264" s="13"/>
      <c r="M264" s="13"/>
      <c r="N264" s="14"/>
      <c r="O264" s="16"/>
      <c r="P264" s="16"/>
      <c r="Q264" s="16"/>
      <c r="R264" s="16"/>
      <c r="S264" s="16"/>
      <c r="U264" s="9">
        <v>0</v>
      </c>
      <c r="Y264" s="10" t="e">
        <f>VLOOKUP(Tabela3[[#This Row],[SISTEMA]],'[1]Resultado Geral'!$D$2:$J$171,7,0)</f>
        <v>#N/A</v>
      </c>
    </row>
    <row r="265" spans="1:26">
      <c r="A265" s="2">
        <v>162</v>
      </c>
      <c r="B265" s="2" t="str">
        <f>VLOOKUP(Tabela3[[#This Row],[COORDENAÇÃO]],[1]Mun!$D$1:$F$137,3,FALSE)</f>
        <v>Lote 2</v>
      </c>
      <c r="C265" s="5" t="str">
        <f>VLOOKUP(Tabela3[[#This Row],[COORDENAÇÃO]],[1]Mun!$D$1:$E$137,2,FALSE)</f>
        <v>GPR Agreste</v>
      </c>
      <c r="D265" s="5" t="s">
        <v>210</v>
      </c>
      <c r="E265" s="5" t="s">
        <v>553</v>
      </c>
      <c r="F265" s="6" t="s">
        <v>554</v>
      </c>
      <c r="G265" s="5"/>
      <c r="H265" s="5" t="s">
        <v>634</v>
      </c>
      <c r="I265" s="7"/>
      <c r="J265" s="7"/>
      <c r="K265" s="2">
        <v>1</v>
      </c>
      <c r="L265" s="8">
        <v>600</v>
      </c>
      <c r="M265" s="8"/>
      <c r="N265" s="14" t="s">
        <v>44</v>
      </c>
      <c r="O265" s="16"/>
      <c r="P265" s="16"/>
      <c r="Q265" s="16"/>
      <c r="R265" s="16"/>
      <c r="S265" s="16"/>
      <c r="T265" s="5" t="s">
        <v>635</v>
      </c>
      <c r="U265" s="9">
        <v>70.599999999999994</v>
      </c>
      <c r="X265" s="5" t="s">
        <v>44</v>
      </c>
      <c r="Y265" s="10">
        <f>VLOOKUP(Tabela3[[#This Row],[SISTEMA]],'[1]Resultado Geral'!$D$2:$J$171,7,0)</f>
        <v>8.2191460363212614E-4</v>
      </c>
    </row>
    <row r="266" spans="1:26">
      <c r="A266" s="2">
        <v>38</v>
      </c>
      <c r="B266" s="2" t="str">
        <f>VLOOKUP(Tabela3[[#This Row],[COORDENAÇÃO]],[1]Mun!$D$1:$F$137,3,FALSE)</f>
        <v>Lote 2</v>
      </c>
      <c r="C266" s="5" t="str">
        <f>VLOOKUP(Tabela3[[#This Row],[COORDENAÇÃO]],[1]Mun!$D$1:$E$137,2,FALSE)</f>
        <v>GPR Agreste</v>
      </c>
      <c r="D266" s="5" t="s">
        <v>210</v>
      </c>
      <c r="E266" s="5" t="s">
        <v>523</v>
      </c>
      <c r="F266" s="6" t="s">
        <v>546</v>
      </c>
      <c r="G266" s="5"/>
      <c r="H266" s="5" t="s">
        <v>529</v>
      </c>
      <c r="I266" s="7"/>
      <c r="J266" s="7"/>
      <c r="K266" s="2">
        <v>1</v>
      </c>
      <c r="L266" s="8">
        <v>600</v>
      </c>
      <c r="M266" s="8"/>
      <c r="N266" s="11" t="s">
        <v>44</v>
      </c>
      <c r="O266" s="2"/>
      <c r="P266" s="2"/>
      <c r="Q266" s="2" t="s">
        <v>99</v>
      </c>
      <c r="R266" s="2"/>
      <c r="S266" s="2"/>
      <c r="U266" s="9">
        <v>55.8</v>
      </c>
      <c r="V266" s="5" t="s">
        <v>33</v>
      </c>
      <c r="W266" s="5" t="s">
        <v>32</v>
      </c>
      <c r="X266" s="5" t="s">
        <v>44</v>
      </c>
      <c r="Y266" s="10">
        <f>VLOOKUP(Tabela3[[#This Row],[SISTEMA]],'[1]Resultado Geral'!$D$2:$J$171,7,0)</f>
        <v>1.0976965448652742E-2</v>
      </c>
    </row>
    <row r="267" spans="1:26" ht="14.5" customHeight="1">
      <c r="A267" s="2">
        <v>270</v>
      </c>
      <c r="B267" s="2" t="str">
        <f>VLOOKUP(Tabela3[[#This Row],[COORDENAÇÃO]],[1]Mun!$D$1:$F$137,3,FALSE)</f>
        <v>Lote 3</v>
      </c>
      <c r="C267" s="5" t="str">
        <f>VLOOKUP(Tabela3[[#This Row],[COORDENAÇÃO]],[1]Mun!$D$1:$E$137,2,FALSE)</f>
        <v>GPR SERTAO</v>
      </c>
      <c r="D267" s="5" t="s">
        <v>230</v>
      </c>
      <c r="E267" s="5" t="s">
        <v>636</v>
      </c>
      <c r="F267" s="12" t="s">
        <v>637</v>
      </c>
      <c r="G267" s="5"/>
      <c r="H267" s="5"/>
      <c r="I267" s="7"/>
      <c r="J267" s="7"/>
      <c r="K267" s="2"/>
      <c r="L267" s="13"/>
      <c r="M267" s="13"/>
      <c r="N267" s="14"/>
      <c r="O267" s="15"/>
      <c r="P267" s="16"/>
      <c r="Q267" s="16"/>
      <c r="R267" s="16"/>
      <c r="S267" s="16"/>
      <c r="U267" s="9">
        <v>204.9</v>
      </c>
      <c r="Y267" s="10" t="e">
        <f>VLOOKUP(Tabela3[[#This Row],[SISTEMA]],'[1]Resultado Geral'!$D$2:$J$171,7,0)</f>
        <v>#N/A</v>
      </c>
    </row>
    <row r="268" spans="1:26" ht="14.5" customHeight="1">
      <c r="A268" s="2">
        <v>111</v>
      </c>
      <c r="B268" s="2" t="str">
        <f>VLOOKUP(Tabela3[[#This Row],[COORDENAÇÃO]],[1]Mun!$D$1:$F$137,3,FALSE)</f>
        <v>Lote 3</v>
      </c>
      <c r="C268" s="5" t="str">
        <f>VLOOKUP(Tabela3[[#This Row],[COORDENAÇÃO]],[1]Mun!$D$1:$E$137,2,FALSE)</f>
        <v>GPR SERTAO</v>
      </c>
      <c r="D268" s="5" t="s">
        <v>34</v>
      </c>
      <c r="E268" s="5" t="s">
        <v>602</v>
      </c>
      <c r="F268" s="6" t="s">
        <v>603</v>
      </c>
      <c r="G268" s="5"/>
      <c r="H268" s="5" t="s">
        <v>638</v>
      </c>
      <c r="I268" s="7"/>
      <c r="J268" s="7"/>
      <c r="K268" s="2">
        <v>1</v>
      </c>
      <c r="L268" s="8">
        <v>250</v>
      </c>
      <c r="M268" s="8"/>
      <c r="N268" s="11" t="s">
        <v>44</v>
      </c>
      <c r="O268" s="2"/>
      <c r="P268" s="2"/>
      <c r="Q268" s="2"/>
      <c r="R268" s="2"/>
      <c r="S268" s="2"/>
      <c r="U268" s="9">
        <v>234.1</v>
      </c>
      <c r="X268" s="5" t="s">
        <v>44</v>
      </c>
      <c r="Y268" s="10">
        <f>VLOOKUP(Tabela3[[#This Row],[SISTEMA]],'[1]Resultado Geral'!$D$2:$J$171,7,0)</f>
        <v>2.5700181684199354E-3</v>
      </c>
    </row>
    <row r="269" spans="1:26" ht="14.5" customHeight="1">
      <c r="A269" s="2">
        <v>255</v>
      </c>
      <c r="B269" s="2" t="str">
        <f>VLOOKUP(Tabela3[[#This Row],[COORDENAÇÃO]],[1]Mun!$D$1:$F$137,3,FALSE)</f>
        <v>Lote 3</v>
      </c>
      <c r="C269" s="5" t="str">
        <f>VLOOKUP(Tabela3[[#This Row],[COORDENAÇÃO]],[1]Mun!$D$1:$E$137,2,FALSE)</f>
        <v>GPR SERTAO</v>
      </c>
      <c r="D269" s="5" t="s">
        <v>34</v>
      </c>
      <c r="E269" s="5" t="s">
        <v>602</v>
      </c>
      <c r="F269" s="17" t="s">
        <v>639</v>
      </c>
      <c r="G269" s="5"/>
      <c r="H269" s="5"/>
      <c r="I269" s="7"/>
      <c r="J269" s="7"/>
      <c r="K269" s="2"/>
      <c r="L269" s="13"/>
      <c r="M269" s="13"/>
      <c r="N269" s="14"/>
      <c r="O269" s="16"/>
      <c r="P269" s="16"/>
      <c r="Q269" s="16"/>
      <c r="R269" s="16"/>
      <c r="S269" s="16"/>
      <c r="U269" s="9">
        <v>234.1</v>
      </c>
      <c r="Y269" s="10" t="e">
        <f>VLOOKUP(Tabela3[[#This Row],[SISTEMA]],'[1]Resultado Geral'!$D$2:$J$171,7,0)</f>
        <v>#N/A</v>
      </c>
    </row>
    <row r="270" spans="1:26" ht="14.5" customHeight="1">
      <c r="A270" s="2">
        <v>172</v>
      </c>
      <c r="B270" s="2" t="str">
        <f>VLOOKUP(Tabela3[[#This Row],[COORDENAÇÃO]],[1]Mun!$D$1:$F$137,3,FALSE)</f>
        <v>Lote 3</v>
      </c>
      <c r="C270" s="5" t="str">
        <f>VLOOKUP(Tabela3[[#This Row],[COORDENAÇÃO]],[1]Mun!$D$1:$E$137,2,FALSE)</f>
        <v>GPR SERTAO</v>
      </c>
      <c r="D270" s="5" t="s">
        <v>45</v>
      </c>
      <c r="E270" s="37" t="s">
        <v>640</v>
      </c>
      <c r="F270" s="6" t="s">
        <v>641</v>
      </c>
      <c r="G270" s="5"/>
      <c r="H270" s="5" t="s">
        <v>642</v>
      </c>
      <c r="I270" s="7"/>
      <c r="J270" s="7"/>
      <c r="K270" s="2">
        <v>1</v>
      </c>
      <c r="L270" s="8">
        <v>250</v>
      </c>
      <c r="M270" s="8"/>
      <c r="N270" s="16" t="s">
        <v>32</v>
      </c>
      <c r="O270" s="16"/>
      <c r="P270" s="16"/>
      <c r="Q270" s="16"/>
      <c r="R270" s="16"/>
      <c r="S270" s="16"/>
      <c r="U270" s="9">
        <v>27.9</v>
      </c>
      <c r="X270" s="5" t="s">
        <v>44</v>
      </c>
      <c r="Y270" s="10">
        <f>VLOOKUP(Tabela3[[#This Row],[SISTEMA]],'[1]Resultado Geral'!$D$2:$J$171,7,0)</f>
        <v>8.0465709637282863E-4</v>
      </c>
    </row>
    <row r="271" spans="1:26" ht="14.5" customHeight="1">
      <c r="A271" s="2">
        <v>130</v>
      </c>
      <c r="B271" s="2" t="str">
        <f>VLOOKUP(Tabela3[[#This Row],[COORDENAÇÃO]],[1]Mun!$D$1:$F$137,3,FALSE)</f>
        <v>Lote 3</v>
      </c>
      <c r="C271" s="5" t="str">
        <f>VLOOKUP(Tabela3[[#This Row],[COORDENAÇÃO]],[1]Mun!$D$1:$E$137,2,FALSE)</f>
        <v>GPR SERTAO</v>
      </c>
      <c r="D271" s="5" t="s">
        <v>230</v>
      </c>
      <c r="E271" s="5" t="s">
        <v>643</v>
      </c>
      <c r="F271" s="6" t="s">
        <v>644</v>
      </c>
      <c r="G271" s="5"/>
      <c r="H271" s="5" t="s">
        <v>233</v>
      </c>
      <c r="I271" s="7">
        <v>-8.6229999999999993</v>
      </c>
      <c r="J271" s="7">
        <v>-39.598999999999997</v>
      </c>
      <c r="K271" s="2" t="s">
        <v>39</v>
      </c>
      <c r="L271" s="8" t="s">
        <v>39</v>
      </c>
      <c r="M271" s="8"/>
      <c r="N271" s="2" t="s">
        <v>39</v>
      </c>
      <c r="O271" s="2"/>
      <c r="P271" s="2"/>
      <c r="Q271" s="2"/>
      <c r="R271" s="2"/>
      <c r="S271" s="2"/>
      <c r="U271" s="9">
        <v>143</v>
      </c>
      <c r="V271" s="5" t="s">
        <v>33</v>
      </c>
      <c r="X271" s="5" t="s">
        <v>32</v>
      </c>
      <c r="Y271" s="10">
        <f>VLOOKUP(Tabela3[[#This Row],[SISTEMA]],'[1]Resultado Geral'!$D$2:$J$171,7,0)</f>
        <v>1.3952651630805316E-3</v>
      </c>
    </row>
    <row r="272" spans="1:26" ht="14.5" customHeight="1">
      <c r="A272" s="2">
        <v>277</v>
      </c>
      <c r="B272" s="2" t="str">
        <f>VLOOKUP(Tabela3[[#This Row],[COORDENAÇÃO]],[1]Mun!$D$1:$F$137,3,FALSE)</f>
        <v>Lote 3</v>
      </c>
      <c r="C272" s="5" t="str">
        <f>VLOOKUP(Tabela3[[#This Row],[COORDENAÇÃO]],[1]Mun!$D$1:$E$137,2,FALSE)</f>
        <v>GPR SERTAO</v>
      </c>
      <c r="D272" s="5" t="s">
        <v>45</v>
      </c>
      <c r="E272" s="5" t="s">
        <v>640</v>
      </c>
      <c r="F272" s="12" t="s">
        <v>645</v>
      </c>
      <c r="G272" s="5"/>
      <c r="H272" s="5"/>
      <c r="I272" s="7"/>
      <c r="J272" s="7"/>
      <c r="K272" s="2"/>
      <c r="L272" s="13"/>
      <c r="M272" s="13"/>
      <c r="N272" s="14"/>
      <c r="O272" s="15"/>
      <c r="P272" s="16"/>
      <c r="Q272" s="16"/>
      <c r="R272" s="16"/>
      <c r="S272" s="16"/>
      <c r="U272" s="9">
        <v>27.9</v>
      </c>
      <c r="Y272" s="10" t="e">
        <f>VLOOKUP(Tabela3[[#This Row],[SISTEMA]],'[1]Resultado Geral'!$D$2:$J$171,7,0)</f>
        <v>#N/A</v>
      </c>
    </row>
    <row r="273" spans="1:27" ht="14.5" customHeight="1">
      <c r="A273" s="2">
        <v>261</v>
      </c>
      <c r="B273" s="2" t="str">
        <f>VLOOKUP(Tabela3[[#This Row],[COORDENAÇÃO]],[1]Mun!$D$1:$F$137,3,FALSE)</f>
        <v>Lote 3</v>
      </c>
      <c r="C273" s="5" t="str">
        <f>VLOOKUP(Tabela3[[#This Row],[COORDENAÇÃO]],[1]Mun!$D$1:$E$137,2,FALSE)</f>
        <v>GPR SERTAO</v>
      </c>
      <c r="D273" s="5" t="s">
        <v>53</v>
      </c>
      <c r="E273" s="5" t="s">
        <v>155</v>
      </c>
      <c r="F273" s="17" t="s">
        <v>646</v>
      </c>
      <c r="G273" s="5"/>
      <c r="H273" s="5"/>
      <c r="I273" s="7"/>
      <c r="J273" s="7"/>
      <c r="K273" s="2"/>
      <c r="L273" s="13"/>
      <c r="M273" s="13"/>
      <c r="N273" s="14"/>
      <c r="O273" s="16"/>
      <c r="P273" s="16"/>
      <c r="Q273" s="16"/>
      <c r="R273" s="16"/>
      <c r="S273" s="16"/>
      <c r="U273" s="9">
        <v>218.5</v>
      </c>
      <c r="Y273" s="10" t="e">
        <f>VLOOKUP(Tabela3[[#This Row],[SISTEMA]],'[1]Resultado Geral'!$D$2:$J$171,7,0)</f>
        <v>#N/A</v>
      </c>
    </row>
    <row r="274" spans="1:27" ht="14.5" customHeight="1">
      <c r="A274" s="2">
        <v>192</v>
      </c>
      <c r="B274" s="2" t="str">
        <f>VLOOKUP(Tabela3[[#This Row],[COORDENAÇÃO]],[1]Mun!$D$1:$F$137,3,FALSE)</f>
        <v>Lote 3</v>
      </c>
      <c r="C274" s="5" t="str">
        <f>VLOOKUP(Tabela3[[#This Row],[COORDENAÇÃO]],[1]Mun!$D$1:$E$137,2,FALSE)</f>
        <v>GPR SERTAO</v>
      </c>
      <c r="D274" s="5" t="s">
        <v>34</v>
      </c>
      <c r="E274" s="5" t="s">
        <v>647</v>
      </c>
      <c r="F274" s="6" t="s">
        <v>648</v>
      </c>
      <c r="G274" s="5"/>
      <c r="H274" s="5" t="s">
        <v>38</v>
      </c>
      <c r="I274" s="7">
        <v>-8.0621170000000006</v>
      </c>
      <c r="J274" s="7">
        <v>-37.354404000000002</v>
      </c>
      <c r="K274" s="2" t="s">
        <v>39</v>
      </c>
      <c r="L274" s="8" t="s">
        <v>39</v>
      </c>
      <c r="M274" s="8"/>
      <c r="N274" s="16" t="s">
        <v>39</v>
      </c>
      <c r="O274" s="16"/>
      <c r="P274" s="16"/>
      <c r="Q274" s="16"/>
      <c r="R274" s="16"/>
      <c r="S274" s="16"/>
      <c r="U274" s="9">
        <v>266.3</v>
      </c>
      <c r="X274" s="5" t="s">
        <v>44</v>
      </c>
      <c r="Y274" s="10">
        <f>VLOOKUP(Tabela3[[#This Row],[SISTEMA]],'[1]Resultado Geral'!$D$2:$J$171,7,0)</f>
        <v>7.1929118616617074E-4</v>
      </c>
    </row>
    <row r="275" spans="1:27" ht="14.5" customHeight="1">
      <c r="A275" s="2">
        <v>242</v>
      </c>
      <c r="B275" s="2" t="str">
        <f>VLOOKUP(Tabela3[[#This Row],[COORDENAÇÃO]],[1]Mun!$D$1:$F$137,3,FALSE)</f>
        <v>Lote 3</v>
      </c>
      <c r="C275" s="5" t="str">
        <f>VLOOKUP(Tabela3[[#This Row],[COORDENAÇÃO]],[1]Mun!$D$1:$E$137,2,FALSE)</f>
        <v>GPR SERTAO</v>
      </c>
      <c r="D275" s="5" t="s">
        <v>34</v>
      </c>
      <c r="E275" s="5" t="s">
        <v>649</v>
      </c>
      <c r="F275" s="6" t="s">
        <v>650</v>
      </c>
      <c r="G275" s="5"/>
      <c r="H275" s="5" t="s">
        <v>651</v>
      </c>
      <c r="I275" s="7"/>
      <c r="J275" s="7"/>
      <c r="K275" s="2">
        <v>1</v>
      </c>
      <c r="L275" s="8">
        <v>100</v>
      </c>
      <c r="M275" s="8"/>
      <c r="N275" s="11" t="s">
        <v>44</v>
      </c>
      <c r="O275" s="2"/>
      <c r="P275" s="2"/>
      <c r="Q275" s="2"/>
      <c r="R275" s="2"/>
      <c r="S275" s="2"/>
      <c r="U275" s="9">
        <v>209.1</v>
      </c>
      <c r="X275" s="5" t="s">
        <v>44</v>
      </c>
      <c r="Y275" s="10">
        <f>VLOOKUP(Tabela3[[#This Row],[SISTEMA]],'[1]Resultado Geral'!$D$2:$J$171,7,0)</f>
        <v>1.8059799605635275E-4</v>
      </c>
    </row>
    <row r="276" spans="1:27" ht="14.5" customHeight="1">
      <c r="A276" s="2">
        <v>271</v>
      </c>
      <c r="B276" s="2" t="str">
        <f>VLOOKUP(Tabela3[[#This Row],[COORDENAÇÃO]],[1]Mun!$D$1:$F$137,3,FALSE)</f>
        <v>Lote 3</v>
      </c>
      <c r="C276" s="5" t="str">
        <f>VLOOKUP(Tabela3[[#This Row],[COORDENAÇÃO]],[1]Mun!$D$1:$E$137,2,FALSE)</f>
        <v>GPR SERTAO</v>
      </c>
      <c r="D276" s="5" t="s">
        <v>34</v>
      </c>
      <c r="E276" s="5" t="s">
        <v>629</v>
      </c>
      <c r="F276" s="12" t="s">
        <v>652</v>
      </c>
      <c r="G276" s="5"/>
      <c r="H276" s="5"/>
      <c r="I276" s="7"/>
      <c r="J276" s="7"/>
      <c r="K276" s="2"/>
      <c r="L276" s="13"/>
      <c r="M276" s="13"/>
      <c r="N276" s="14"/>
      <c r="O276" s="15"/>
      <c r="P276" s="16"/>
      <c r="Q276" s="16"/>
      <c r="R276" s="16"/>
      <c r="S276" s="16"/>
      <c r="U276" s="9">
        <v>201.4</v>
      </c>
      <c r="Y276" s="10" t="e">
        <f>VLOOKUP(Tabela3[[#This Row],[SISTEMA]],'[1]Resultado Geral'!$D$2:$J$171,7,0)</f>
        <v>#N/A</v>
      </c>
    </row>
    <row r="277" spans="1:27" ht="14.5" customHeight="1">
      <c r="A277" s="2">
        <v>246</v>
      </c>
      <c r="B277" s="2" t="str">
        <f>VLOOKUP(Tabela3[[#This Row],[COORDENAÇÃO]],[1]Mun!$D$1:$F$137,3,FALSE)</f>
        <v>Lote 2</v>
      </c>
      <c r="C277" s="5" t="str">
        <f>VLOOKUP(Tabela3[[#This Row],[COORDENAÇÃO]],[1]Mun!$D$1:$E$137,2,FALSE)</f>
        <v>GPR Agreste</v>
      </c>
      <c r="D277" s="5" t="s">
        <v>77</v>
      </c>
      <c r="E277" s="5" t="s">
        <v>653</v>
      </c>
      <c r="F277" s="6" t="s">
        <v>573</v>
      </c>
      <c r="G277" s="5"/>
      <c r="H277" s="5" t="s">
        <v>654</v>
      </c>
      <c r="I277" s="7"/>
      <c r="J277" s="7"/>
      <c r="K277" s="2">
        <v>1</v>
      </c>
      <c r="L277" s="13">
        <v>700</v>
      </c>
      <c r="M277" s="13"/>
      <c r="N277" s="14" t="s">
        <v>44</v>
      </c>
      <c r="O277" s="16"/>
      <c r="P277" s="16"/>
      <c r="Q277" s="16"/>
      <c r="R277" s="16"/>
      <c r="S277" s="16"/>
      <c r="T277" s="5" t="s">
        <v>655</v>
      </c>
      <c r="U277" s="9">
        <v>99.7</v>
      </c>
      <c r="V277" s="5" t="s">
        <v>33</v>
      </c>
      <c r="X277" s="5" t="s">
        <v>44</v>
      </c>
      <c r="Y277" s="10" t="e">
        <f>VLOOKUP(Tabela3[[#This Row],[SISTEMA]],'[1]Resultado Geral'!$D$2:$J$171,7,0)</f>
        <v>#N/A</v>
      </c>
    </row>
    <row r="278" spans="1:27" ht="14.5" customHeight="1">
      <c r="A278" s="2">
        <v>160</v>
      </c>
      <c r="B278" s="2" t="str">
        <f>VLOOKUP(Tabela3[[#This Row],[COORDENAÇÃO]],[1]Mun!$D$1:$F$137,3,FALSE)</f>
        <v>Lote 3</v>
      </c>
      <c r="C278" s="5" t="str">
        <f>VLOOKUP(Tabela3[[#This Row],[COORDENAÇÃO]],[1]Mun!$D$1:$E$137,2,FALSE)</f>
        <v>GPR SERTAO</v>
      </c>
      <c r="D278" s="5" t="s">
        <v>45</v>
      </c>
      <c r="E278" s="5" t="s">
        <v>46</v>
      </c>
      <c r="F278" s="6" t="s">
        <v>656</v>
      </c>
      <c r="G278" s="5"/>
      <c r="H278" s="5" t="s">
        <v>657</v>
      </c>
      <c r="I278" s="7"/>
      <c r="J278" s="7"/>
      <c r="K278" s="2">
        <v>1</v>
      </c>
      <c r="L278" s="8">
        <v>200</v>
      </c>
      <c r="M278" s="8"/>
      <c r="N278" s="2" t="s">
        <v>32</v>
      </c>
      <c r="O278" s="2"/>
      <c r="P278" s="2"/>
      <c r="Q278" s="2"/>
      <c r="R278" s="2"/>
      <c r="S278" s="2"/>
      <c r="U278" s="9">
        <v>42.1</v>
      </c>
      <c r="X278" s="5" t="s">
        <v>44</v>
      </c>
      <c r="Y278" s="10">
        <f>VLOOKUP(Tabela3[[#This Row],[SISTEMA]],'[1]Resultado Geral'!$D$2:$J$171,7,0)</f>
        <v>5.3824999523569429E-4</v>
      </c>
    </row>
    <row r="279" spans="1:27" ht="14.5" customHeight="1">
      <c r="A279" s="2">
        <v>221</v>
      </c>
      <c r="B279" s="2" t="str">
        <f>VLOOKUP(Tabela3[[#This Row],[COORDENAÇÃO]],[1]Mun!$D$1:$F$137,3,FALSE)</f>
        <v>Lote 3</v>
      </c>
      <c r="C279" s="5" t="str">
        <f>VLOOKUP(Tabela3[[#This Row],[COORDENAÇÃO]],[1]Mun!$D$1:$E$137,2,FALSE)</f>
        <v>GPR SERTAO</v>
      </c>
      <c r="D279" s="5" t="s">
        <v>119</v>
      </c>
      <c r="E279" s="5" t="s">
        <v>658</v>
      </c>
      <c r="F279" s="6" t="s">
        <v>659</v>
      </c>
      <c r="G279" s="5"/>
      <c r="H279" s="5" t="s">
        <v>660</v>
      </c>
      <c r="I279" s="7"/>
      <c r="J279" s="7"/>
      <c r="K279" s="2">
        <v>1</v>
      </c>
      <c r="L279" s="8">
        <v>100</v>
      </c>
      <c r="M279" s="8" t="s">
        <v>167</v>
      </c>
      <c r="N279" s="14" t="s">
        <v>44</v>
      </c>
      <c r="O279" s="16"/>
      <c r="P279" s="16"/>
      <c r="Q279" s="16"/>
      <c r="R279" s="16"/>
      <c r="S279" s="16"/>
      <c r="U279" s="9">
        <v>131.30000000000001</v>
      </c>
      <c r="X279" s="5" t="s">
        <v>44</v>
      </c>
      <c r="Y279" s="10">
        <f>VLOOKUP(Tabela3[[#This Row],[SISTEMA]],'[1]Resultado Geral'!$D$2:$J$171,7,0)</f>
        <v>3.7810458128735715E-4</v>
      </c>
    </row>
    <row r="280" spans="1:27" ht="14.5" customHeight="1">
      <c r="A280" s="2">
        <v>273</v>
      </c>
      <c r="B280" s="2" t="str">
        <f>VLOOKUP(Tabela3[[#This Row],[COORDENAÇÃO]],[1]Mun!$D$1:$F$137,3,FALSE)</f>
        <v>Lote 3</v>
      </c>
      <c r="C280" s="5" t="str">
        <f>VLOOKUP(Tabela3[[#This Row],[COORDENAÇÃO]],[1]Mun!$D$1:$E$137,2,FALSE)</f>
        <v>GPR SERTAO</v>
      </c>
      <c r="D280" s="5" t="s">
        <v>119</v>
      </c>
      <c r="E280" s="5" t="s">
        <v>658</v>
      </c>
      <c r="F280" s="12" t="s">
        <v>661</v>
      </c>
      <c r="G280" s="5"/>
      <c r="H280" s="5"/>
      <c r="I280" s="7"/>
      <c r="J280" s="7"/>
      <c r="K280" s="2"/>
      <c r="L280" s="13"/>
      <c r="M280" s="13"/>
      <c r="N280" s="14"/>
      <c r="O280" s="15"/>
      <c r="P280" s="16"/>
      <c r="Q280" s="16"/>
      <c r="R280" s="16"/>
      <c r="S280" s="16"/>
      <c r="U280" s="9">
        <v>131.30000000000001</v>
      </c>
      <c r="Y280" s="10" t="e">
        <f>VLOOKUP(Tabela3[[#This Row],[SISTEMA]],'[1]Resultado Geral'!$D$2:$J$171,7,0)</f>
        <v>#N/A</v>
      </c>
    </row>
    <row r="281" spans="1:27" ht="15" thickBot="1">
      <c r="A281" s="2" t="s">
        <v>662</v>
      </c>
      <c r="E281" s="5"/>
      <c r="F281" s="5">
        <f>SUBTOTAL(103,Tabela3[SISTEMA])</f>
        <v>279</v>
      </c>
      <c r="G281" s="5"/>
      <c r="H281" s="5"/>
      <c r="K281" s="2">
        <f>SUBTOTAL(109,Tabela3[QUANT.])</f>
        <v>207</v>
      </c>
      <c r="N281" s="14">
        <f>COUNTIF(Tabela3[MACROMEDIÇÃO],"NÃO")</f>
        <v>154</v>
      </c>
      <c r="O281" s="15" t="e">
        <f>SUMIF(N2:N280,"NÃO",Y2:Y280)</f>
        <v>#N/A</v>
      </c>
      <c r="P281" s="15"/>
      <c r="Q281" s="16"/>
      <c r="R281" s="16"/>
      <c r="S281" s="16"/>
      <c r="T281"/>
      <c r="U281" s="38" t="s">
        <v>663</v>
      </c>
      <c r="V281"/>
      <c r="W281"/>
      <c r="X281"/>
      <c r="Y281"/>
      <c r="Z281"/>
      <c r="AA281"/>
    </row>
    <row r="282" spans="1:27" ht="15" thickTop="1">
      <c r="N282" s="39">
        <f>COUNTIF(Tabela3[MACROMEDIÇÃO],"SIM")</f>
        <v>53</v>
      </c>
      <c r="O282" s="40" t="e">
        <f ca="1">SUMIF(N2:N280,"SIM",Y17:Y243)</f>
        <v>#N/A</v>
      </c>
      <c r="P282" s="41"/>
      <c r="Q282" s="42"/>
      <c r="R282" s="42"/>
      <c r="S282" s="42"/>
      <c r="V282" s="43" t="s">
        <v>664</v>
      </c>
      <c r="W282" s="5">
        <v>49</v>
      </c>
      <c r="Y282" s="44">
        <f>COUNTIFS(X2:X249,"SIM")</f>
        <v>63</v>
      </c>
    </row>
    <row r="283" spans="1:27" ht="15.5">
      <c r="H283" s="45" t="s">
        <v>665</v>
      </c>
      <c r="L283" s="45"/>
      <c r="M283" s="45"/>
      <c r="N283" s="46">
        <f>N282/(N282+Tabela3[[#Totals],[MACROMEDIÇÃO]])</f>
        <v>0.2560386473429952</v>
      </c>
      <c r="O283" s="47"/>
      <c r="P283" s="47"/>
      <c r="Q283" s="47"/>
      <c r="R283" s="47"/>
      <c r="S283" s="47"/>
      <c r="V283" s="43" t="s">
        <v>666</v>
      </c>
      <c r="W283" s="5">
        <v>202</v>
      </c>
      <c r="Y283" s="48">
        <f>COUNTIFS(X2:X249,"NÃO")</f>
        <v>169</v>
      </c>
    </row>
    <row r="286" spans="1:27">
      <c r="V286"/>
    </row>
    <row r="287" spans="1:27">
      <c r="V287"/>
    </row>
  </sheetData>
  <sheetProtection formatCells="0" autoFilter="0" pivotTables="0"/>
  <conditionalFormatting sqref="G77:G78">
    <cfRule type="duplicateValues" dxfId="58" priority="7"/>
  </conditionalFormatting>
  <conditionalFormatting sqref="G104">
    <cfRule type="duplicateValues" dxfId="57" priority="5"/>
  </conditionalFormatting>
  <conditionalFormatting sqref="G105">
    <cfRule type="duplicateValues" dxfId="56" priority="4"/>
  </conditionalFormatting>
  <conditionalFormatting sqref="G148">
    <cfRule type="duplicateValues" dxfId="55" priority="1"/>
  </conditionalFormatting>
  <conditionalFormatting sqref="G158">
    <cfRule type="duplicateValues" dxfId="54" priority="3"/>
  </conditionalFormatting>
  <conditionalFormatting sqref="G159">
    <cfRule type="duplicateValues" dxfId="53" priority="2"/>
  </conditionalFormatting>
  <conditionalFormatting sqref="G162">
    <cfRule type="duplicateValues" dxfId="52" priority="6"/>
  </conditionalFormatting>
  <conditionalFormatting sqref="G234">
    <cfRule type="duplicateValues" dxfId="51" priority="9"/>
  </conditionalFormatting>
  <conditionalFormatting sqref="I262:J262">
    <cfRule type="duplicateValues" dxfId="50" priority="8"/>
  </conditionalFormatting>
  <conditionalFormatting sqref="N284:S1048576 H265:J265 H1 H20 H2:J19 H246:J249 H268:J281 H21:J180 H182:J244 I181:J181 G181">
    <cfRule type="duplicateValues" dxfId="49" priority="10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Captações por ETAs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Henrique Rodrigues Macedo</dc:creator>
  <cp:lastModifiedBy>George Henrique Rodrigues Macedo</cp:lastModifiedBy>
  <dcterms:created xsi:type="dcterms:W3CDTF">2026-02-10T12:18:45Z</dcterms:created>
  <dcterms:modified xsi:type="dcterms:W3CDTF">2026-02-10T12:23:38Z</dcterms:modified>
</cp:coreProperties>
</file>